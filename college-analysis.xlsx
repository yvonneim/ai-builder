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 Data" sheetId="1" state="visible" r:id="rId1"/>
    <sheet xmlns:r="http://schemas.openxmlformats.org/officeDocument/2006/relationships" name="My Schools" sheetId="2" state="visible" r:id="rId2"/>
    <sheet xmlns:r="http://schemas.openxmlformats.org/officeDocument/2006/relationships" name="Chart - Profile vs Average" sheetId="3" state="visible" r:id="rId3"/>
    <sheet xmlns:r="http://schemas.openxmlformats.org/officeDocument/2006/relationships" name="Chart - Raw vs COL-Adjusted" sheetId="4" state="visible" r:id="rId4"/>
    <sheet xmlns:r="http://schemas.openxmlformats.org/officeDocument/2006/relationships" name="Chart - Earnings vs State" sheetId="5" state="visible" r:id="rId5"/>
    <sheet xmlns:r="http://schemas.openxmlformats.org/officeDocument/2006/relationships" name="Chart - Tuition Return" sheetId="6" state="visible" r:id="rId6"/>
    <sheet xmlns:r="http://schemas.openxmlformats.org/officeDocument/2006/relationships" name="Chart - Debt Burden" sheetId="7" state="visible" r:id="rId7"/>
    <sheet xmlns:r="http://schemas.openxmlformats.org/officeDocument/2006/relationships" name="School Comparison" sheetId="8" state="visible" r:id="rId8"/>
    <sheet xmlns:r="http://schemas.openxmlformats.org/officeDocument/2006/relationships" name="Methodology" sheetId="9" state="visible" r:id="rId9"/>
    <sheet xmlns:r="http://schemas.openxmlformats.org/officeDocument/2006/relationships" name="Notes" sheetId="10" state="visible" r:id="rId10"/>
  </sheets>
  <definedNames>
    <definedName name="_xlnm._FilterDatabase" localSheetId="0" hidden="1">'Merged Data'!$A$1:$AE$201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$#,##0"/>
    <numFmt numFmtId="166" formatCode="+$#,##0;-$#,##0"/>
    <numFmt numFmtId="167" formatCode="0.0%"/>
    <numFmt numFmtId="168" formatCode="0.0&quot;%&quot;"/>
  </numFmts>
  <fonts count="12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  <sz val="14"/>
    </font>
    <font>
      <b val="1"/>
    </font>
    <font/>
    <font>
      <i val="1"/>
      <color rgb="00666666"/>
    </font>
    <font>
      <b val="1"/>
      <sz val="15"/>
    </font>
    <font>
      <i val="1"/>
      <color rgb="00555555"/>
      <sz val="11"/>
    </font>
    <font>
      <b val="1"/>
      <color rgb="00FFFFFF"/>
      <sz val="12"/>
    </font>
    <font>
      <name val="Inter Tight"/>
      <b val="1"/>
      <sz val="15"/>
    </font>
    <font>
      <name val="Plus Jakarta Sans"/>
      <b val="1"/>
      <sz val="15"/>
    </font>
  </fonts>
  <fills count="18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B8860B"/>
      </patternFill>
    </fill>
    <fill>
      <patternFill patternType="solid">
        <fgColor rgb="00E7E6E6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9E2E7"/>
      </patternFill>
    </fill>
    <fill>
      <patternFill patternType="solid">
        <fgColor rgb="00E6C86E"/>
      </patternFill>
    </fill>
    <fill>
      <patternFill patternType="solid">
        <fgColor rgb="00FFF2CC"/>
      </patternFill>
    </fill>
    <fill>
      <patternFill patternType="solid">
        <fgColor rgb="00E03131"/>
      </patternFill>
    </fill>
    <fill>
      <patternFill patternType="solid">
        <fgColor rgb="00E67700"/>
      </patternFill>
    </fill>
    <fill>
      <patternFill patternType="solid">
        <fgColor rgb="001C7ED6"/>
      </patternFill>
    </fill>
    <fill>
      <patternFill patternType="solid">
        <fgColor rgb="0013132B"/>
      </patternFill>
    </fill>
    <fill>
      <patternFill patternType="solid">
        <fgColor rgb="003719CA"/>
      </patternFill>
    </fill>
    <fill>
      <patternFill patternType="solid">
        <fgColor rgb="000F4C5C"/>
      </patternFill>
    </fill>
    <fill>
      <patternFill patternType="solid">
        <fgColor rgb="00F7F4EE"/>
      </patternFill>
    </fill>
    <fill>
      <patternFill patternType="solid">
        <fgColor rgb="003B8EA0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164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4" fontId="0" fillId="4" borderId="0" pivotButton="0" quotePrefix="0" xfId="0"/>
    <xf numFmtId="0" fontId="0" fillId="4" borderId="0" pivotButton="0" quotePrefix="0" xfId="0"/>
    <xf numFmtId="3" fontId="0" fillId="5" borderId="0" pivotButton="0" quotePrefix="0" xfId="0"/>
    <xf numFmtId="0" fontId="0" fillId="5" borderId="0" pivotButton="0" quotePrefix="0" xfId="0"/>
    <xf numFmtId="3" fontId="0" fillId="6" borderId="0" pivotButton="0" quotePrefix="0" xfId="0"/>
    <xf numFmtId="0" fontId="0" fillId="6" borderId="0" pivotButton="0" quotePrefix="0" xfId="0"/>
    <xf numFmtId="3" fontId="0" fillId="4" borderId="0" pivotButton="0" quotePrefix="0" xfId="0"/>
    <xf numFmtId="4" fontId="0" fillId="5" borderId="0" pivotButton="0" quotePrefix="0" xfId="0"/>
    <xf numFmtId="4" fontId="0" fillId="6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4" fillId="7" borderId="0" pivotButton="0" quotePrefix="0" xfId="0"/>
    <xf numFmtId="0" fontId="5" fillId="0" borderId="1" pivotButton="0" quotePrefix="0" xfId="0"/>
    <xf numFmtId="0" fontId="0" fillId="0" borderId="1" applyAlignment="1" pivotButton="0" quotePrefix="0" xfId="0">
      <alignment horizontal="right"/>
    </xf>
    <xf numFmtId="4" fontId="0" fillId="0" borderId="1" applyAlignment="1" pivotButton="0" quotePrefix="0" xfId="0">
      <alignment horizontal="right"/>
    </xf>
    <xf numFmtId="3" fontId="0" fillId="0" borderId="1" applyAlignment="1" pivotButton="0" quotePrefix="0" xfId="0">
      <alignment horizontal="right"/>
    </xf>
    <xf numFmtId="1" fontId="0" fillId="0" borderId="1" applyAlignment="1" pivotButton="0" quotePrefix="0" xfId="0">
      <alignment horizontal="right"/>
    </xf>
    <xf numFmtId="0" fontId="4" fillId="8" borderId="0" pivotButton="0" quotePrefix="0" xfId="0"/>
    <xf numFmtId="0" fontId="4" fillId="9" borderId="1" pivotButton="0" quotePrefix="0" xfId="0"/>
    <xf numFmtId="3" fontId="0" fillId="9" borderId="1" applyAlignment="1" pivotButton="0" quotePrefix="0" xfId="0">
      <alignment horizontal="right"/>
    </xf>
    <xf numFmtId="4" fontId="0" fillId="9" borderId="1" applyAlignment="1" pivotButton="0" quotePrefix="0" xfId="0">
      <alignment horizontal="right"/>
    </xf>
    <xf numFmtId="0" fontId="0" fillId="9" borderId="1" applyAlignment="1" pivotButton="0" quotePrefix="0" xfId="0">
      <alignment horizontal="right"/>
    </xf>
    <xf numFmtId="1" fontId="0" fillId="9" borderId="1" applyAlignment="1" pivotButton="0" quotePrefix="0" xfId="0">
      <alignment horizontal="right"/>
    </xf>
    <xf numFmtId="0" fontId="6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0" applyAlignment="1" pivotButton="0" quotePrefix="0" xfId="0">
      <alignment horizontal="center" vertical="center" wrapText="1"/>
    </xf>
    <xf numFmtId="0" fontId="9" fillId="10" borderId="0" applyAlignment="1" pivotButton="0" quotePrefix="0" xfId="0">
      <alignment horizontal="center" vertical="center" wrapText="1"/>
    </xf>
    <xf numFmtId="0" fontId="9" fillId="11" borderId="0" applyAlignment="1" pivotButton="0" quotePrefix="0" xfId="0">
      <alignment horizontal="center" vertical="center" wrapText="1"/>
    </xf>
    <xf numFmtId="0" fontId="9" fillId="1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9" fillId="10" borderId="0" pivotButton="0" quotePrefix="0" xfId="0"/>
    <xf numFmtId="0" fontId="9" fillId="11" borderId="0" pivotButton="0" quotePrefix="0" xfId="0"/>
    <xf numFmtId="0" fontId="9" fillId="12" borderId="0" pivotButton="0" quotePrefix="0" xfId="0"/>
    <xf numFmtId="0" fontId="10" fillId="0" borderId="0" pivotButton="0" quotePrefix="0" xfId="0"/>
    <xf numFmtId="0" fontId="9" fillId="13" borderId="0" applyAlignment="1" pivotButton="0" quotePrefix="0" xfId="0">
      <alignment horizontal="center" vertical="center" wrapText="1"/>
    </xf>
    <xf numFmtId="0" fontId="9" fillId="14" borderId="0" applyAlignment="1" pivotButton="0" quotePrefix="0" xfId="0">
      <alignment horizontal="center" vertical="center" wrapText="1"/>
    </xf>
    <xf numFmtId="0" fontId="9" fillId="14" borderId="0" pivotButton="0" quotePrefix="0" xfId="0"/>
    <xf numFmtId="0" fontId="11" fillId="16" borderId="0" pivotButton="0" quotePrefix="0" xfId="0"/>
    <xf numFmtId="0" fontId="0" fillId="16" borderId="0" pivotButton="0" quotePrefix="0" xfId="0"/>
    <xf numFmtId="0" fontId="8" fillId="16" borderId="0" pivotButton="0" quotePrefix="0" xfId="0"/>
    <xf numFmtId="0" fontId="9" fillId="15" borderId="0" applyAlignment="1" pivotButton="0" quotePrefix="0" xfId="0">
      <alignment horizontal="center" vertical="center" wrapText="1"/>
    </xf>
    <xf numFmtId="0" fontId="0" fillId="16" borderId="0" applyAlignment="1" pivotButton="0" quotePrefix="0" xfId="0">
      <alignment horizontal="center"/>
    </xf>
    <xf numFmtId="0" fontId="9" fillId="15" borderId="0" pivotButton="0" quotePrefix="0" xfId="0"/>
    <xf numFmtId="164" fontId="0" fillId="16" borderId="0" pivotButton="0" quotePrefix="0" xfId="0"/>
    <xf numFmtId="165" fontId="0" fillId="16" borderId="0" pivotButton="0" quotePrefix="0" xfId="0"/>
    <xf numFmtId="166" fontId="0" fillId="16" borderId="0" pivotButton="0" quotePrefix="0" xfId="0"/>
    <xf numFmtId="167" fontId="0" fillId="16" borderId="0" pivotButton="0" quotePrefix="0" xfId="0"/>
    <xf numFmtId="2" fontId="0" fillId="16" borderId="0" pivotButton="0" quotePrefix="0" xfId="0"/>
    <xf numFmtId="0" fontId="9" fillId="17" borderId="0" pivotButton="0" quotePrefix="0" xfId="0"/>
    <xf numFmtId="168" fontId="0" fillId="1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roundedCorners val="1"/>
  <chart>
    <title>
      <tx>
        <rich>
          <a:bodyPr xmlns:a="http://schemas.openxmlformats.org/drawingml/2006/main"/>
          <a:p xmlns:a="http://schemas.openxmlformats.org/drawingml/2006/main">
            <a:pPr>
              <a:defRPr sz="2000" b="1">
                <a:solidFill>
                  <a:srgbClr val="16202E"/>
                </a:solidFill>
                <a:latin typeface="Plus Jakarta Sans"/>
              </a:defRPr>
            </a:pPr>
            <a:r>
              <a:rPr sz="2000" b="1">
                <a:solidFill>
                  <a:srgbClr val="16202E"/>
                </a:solidFill>
                <a:latin typeface="Plus Jakarta Sans"/>
              </a:rPr>
              <a:t>Profile vs. the Average</a:t>
            </a:r>
          </a:p>
        </rich>
      </tx>
      <overlay val="0"/>
    </title>
    <plotArea>
      <radarChart>
        <radarStyle val="marker"/>
        <ser>
          <idx val="0"/>
          <order val="0"/>
          <tx>
            <strRef>
              <f>'Chart - Profile vs Average'!B4</f>
            </strRef>
          </tx>
          <spPr>
            <a:ln xmlns:a="http://schemas.openxmlformats.org/drawingml/2006/main" w="50000">
              <a:solidFill>
                <a:srgbClr val="0F4C5C"/>
              </a:solidFill>
              <a:prstDash val="solid"/>
            </a:ln>
          </spPr>
          <marker>
            <symbol val="circle"/>
            <size val="11"/>
            <spPr>
              <a:solidFill xmlns:a="http://schemas.openxmlformats.org/drawingml/2006/main">
                <a:srgbClr val="0F4C5C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marker>
          <cat>
            <numRef>
              <f>'Chart - Profile vs Average'!$A$5:$A$11</f>
            </numRef>
          </cat>
          <val>
            <numRef>
              <f>'Chart - Profile vs Average'!$B$5:$B$11</f>
            </numRef>
          </val>
        </ser>
        <ser>
          <idx val="1"/>
          <order val="1"/>
          <tx>
            <strRef>
              <f>'Chart - Profile vs Average'!C4</f>
            </strRef>
          </tx>
          <spPr>
            <a:ln xmlns:a="http://schemas.openxmlformats.org/drawingml/2006/main" w="38000">
              <a:solidFill>
                <a:srgbClr val="3B8EA0"/>
              </a:solidFill>
              <a:prstDash val="solid"/>
            </a:ln>
          </spPr>
          <marker>
            <symbol val="diamond"/>
            <size val="11"/>
            <spPr>
              <a:solidFill xmlns:a="http://schemas.openxmlformats.org/drawingml/2006/main">
                <a:srgbClr val="3B8EA0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marker>
          <cat>
            <numRef>
              <f>'Chart - Profile vs Average'!$A$5:$A$11</f>
            </numRef>
          </cat>
          <val>
            <numRef>
              <f>'Chart - Profile vs Average'!$C$5:$C$11</f>
            </numRef>
          </val>
        </ser>
        <ser>
          <idx val="2"/>
          <order val="2"/>
          <tx>
            <strRef>
              <f>'Chart - Profile vs Average'!D4</f>
            </strRef>
          </tx>
          <spPr>
            <a:ln xmlns:a="http://schemas.openxmlformats.org/drawingml/2006/main" w="38000">
              <a:solidFill>
                <a:srgbClr val="3D4A5C"/>
              </a:solidFill>
              <a:prstDash val="solid"/>
            </a:ln>
          </spPr>
          <marker>
            <symbol val="square"/>
            <size val="11"/>
            <spPr>
              <a:solidFill xmlns:a="http://schemas.openxmlformats.org/drawingml/2006/main">
                <a:srgbClr val="3D4A5C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marker>
          <cat>
            <numRef>
              <f>'Chart - Profile vs Average'!$A$5:$A$11</f>
            </numRef>
          </cat>
          <val>
            <numRef>
              <f>'Chart - Profile vs Average'!$D$5:$D$11</f>
            </numRef>
          </val>
        </ser>
        <ser>
          <idx val="3"/>
          <order val="3"/>
          <tx>
            <strRef>
              <f>'Chart - Profile vs Average'!E4</f>
            </strRef>
          </tx>
          <spPr>
            <a:ln xmlns:a="http://schemas.openxmlformats.org/drawingml/2006/main" w="22000">
              <a:solidFill>
                <a:srgbClr val="56617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 - Profile vs Average'!$A$5:$A$11</f>
            </numRef>
          </cat>
          <val>
            <numRef>
              <f>'Chart - Profile vs Average'!$E$5:$E$11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300" b="1">
                <a:solidFill>
                  <a:srgbClr val="16202E"/>
                </a:solidFill>
                <a:latin typeface="Plus Jakarta Sans"/>
              </a:defRPr>
            </a:pPr>
            <a:r>
              <a:t/>
            </a:r>
            <a:endParaRPr sz="1300" b="1">
              <a:solidFill>
                <a:srgbClr val="16202E"/>
              </a:solidFill>
              <a:latin typeface="Plus Jakarta Sans"/>
            </a:endParaRPr>
          </a:p>
        </txPr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B5C7CC"/>
              </a:solidFill>
              <a:prstDash val="solid"/>
            </a:ln>
          </spPr>
        </majorGridlines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 b="0">
                <a:solidFill>
                  <a:srgbClr val="566170"/>
                </a:solidFill>
                <a:latin typeface="Plus Jakarta Sans"/>
              </a:defRPr>
            </a:pPr>
            <a:r>
              <a:t/>
            </a:r>
            <a:endParaRPr sz="1100" b="0">
              <a:solidFill>
                <a:srgbClr val="566170"/>
              </a:solidFill>
              <a:latin typeface="Plus Jakarta Sans"/>
            </a:endParaRPr>
          </a:p>
        </txPr>
        <crossAx val="10"/>
        <majorUnit val="25"/>
      </valAx>
      <spPr>
        <a:noFill xmlns:a="http://schemas.openxmlformats.org/drawingml/2006/main"/>
        <a:ln xmlns:a="http://schemas.openxmlformats.org/drawingml/2006/main">
          <a:prstDash val="solid"/>
        </a:ln>
      </spPr>
    </plotArea>
    <legend>
      <legendPos val="b"/>
      <txPr>
        <a:bodyPr xmlns:a="http://schemas.openxmlformats.org/drawingml/2006/main"/>
        <a:p xmlns:a="http://schemas.openxmlformats.org/drawingml/2006/main">
          <a:pPr>
            <a:defRPr sz="1300" b="0">
              <a:solidFill>
                <a:srgbClr val="566170"/>
              </a:solidFill>
              <a:latin typeface="Plus Jakarta Sans"/>
            </a:defRPr>
          </a:pPr>
          <a:r>
            <a:t/>
          </a:r>
          <a:endParaRPr sz="1300" b="0">
            <a:solidFill>
              <a:srgbClr val="566170"/>
            </a:solidFill>
            <a:latin typeface="Plus Jakarta Sans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solidFill>
        <a:srgbClr val="B5C7CC"/>
      </a:solidFill>
      <a:prstDash val="solid"/>
    </a:ln>
  </spPr>
</chartSpace>
</file>

<file path=xl/charts/chart2.xml><?xml version="1.0" encoding="utf-8"?>
<chartSpace xmlns="http://schemas.openxmlformats.org/drawingml/2006/chart">
  <roundedCorners val="1"/>
  <chart>
    <title>
      <tx>
        <rich>
          <a:bodyPr xmlns:a="http://schemas.openxmlformats.org/drawingml/2006/main"/>
          <a:p xmlns:a="http://schemas.openxmlformats.org/drawingml/2006/main">
            <a:pPr>
              <a:defRPr sz="2000" b="1">
                <a:solidFill>
                  <a:srgbClr val="16202E"/>
                </a:solidFill>
                <a:latin typeface="Plus Jakarta Sans"/>
              </a:defRPr>
            </a:pPr>
            <a:r>
              <a:rPr sz="2000" b="1">
                <a:solidFill>
                  <a:srgbClr val="16202E"/>
                </a:solidFill>
                <a:latin typeface="Plus Jakarta Sans"/>
              </a:rPr>
              <a:t>Raw vs. Cost-of-Living-Adjusted Earnings (10-yr median)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'Chart - Raw vs COL-Adjusted'!D4</f>
            </strRef>
          </tx>
          <spPr>
            <a:solidFill xmlns:a="http://schemas.openxmlformats.org/drawingml/2006/main">
              <a:srgbClr val="B5C7CC"/>
            </a:solidFill>
            <a:ln xmlns:a="http://schemas.openxmlformats.org/drawingml/2006/main">
              <a:solidFill>
                <a:srgbClr val="B5C7CC"/>
              </a:solidFill>
              <a:prstDash val="solid"/>
            </a:ln>
          </spPr>
          <dLbls>
            <numFmt formatCode="$#,##0"/>
            <txPr>
              <a:bodyPr xmlns:a="http://schemas.openxmlformats.org/drawingml/2006/main"/>
              <a:p xmlns:a="http://schemas.openxmlformats.org/drawingml/2006/main">
                <a:pPr>
                  <a:defRPr sz="1300" b="1">
                    <a:solidFill>
                      <a:srgbClr val="16202E"/>
                    </a:solidFill>
                    <a:latin typeface="Plus Jakarta Sans"/>
                  </a:defRPr>
                </a:pPr>
                <a:r>
                  <a:t/>
                </a:r>
                <a:endParaRPr sz="1300" b="1">
                  <a:solidFill>
                    <a:srgbClr val="16202E"/>
                  </a:solidFill>
                  <a:latin typeface="Plus Jakarta Sans"/>
                </a:endParaRPr>
              </a:p>
            </txPr>
            <showLegendKey val="0"/>
            <showVal val="1"/>
            <showCatName val="0"/>
            <showSerName val="0"/>
          </dLbls>
          <cat>
            <numRef>
              <f>'Chart - Raw vs COL-Adjusted'!$A$5:$A$7</f>
            </numRef>
          </cat>
          <val>
            <numRef>
              <f>'Chart - Raw vs COL-Adjusted'!$D$5:$D$7</f>
            </numRef>
          </val>
        </ser>
        <ser>
          <idx val="1"/>
          <order val="1"/>
          <tx>
            <strRef>
              <f>'Chart - Raw vs COL-Adjusted'!E4</f>
            </strRef>
          </tx>
          <spPr>
            <a:solidFill xmlns:a="http://schemas.openxmlformats.org/drawingml/2006/main">
              <a:srgbClr val="0F4C5C"/>
            </a:solidFill>
            <a:ln xmlns:a="http://schemas.openxmlformats.org/drawingml/2006/main">
              <a:solidFill>
                <a:srgbClr val="0F4C5C"/>
              </a:solidFill>
              <a:prstDash val="solid"/>
            </a:ln>
          </spPr>
          <dLbls>
            <numFmt formatCode="$#,##0"/>
            <txPr>
              <a:bodyPr xmlns:a="http://schemas.openxmlformats.org/drawingml/2006/main"/>
              <a:p xmlns:a="http://schemas.openxmlformats.org/drawingml/2006/main">
                <a:pPr>
                  <a:defRPr sz="1300" b="1">
                    <a:solidFill>
                      <a:srgbClr val="16202E"/>
                    </a:solidFill>
                    <a:latin typeface="Plus Jakarta Sans"/>
                  </a:defRPr>
                </a:pPr>
                <a:r>
                  <a:t/>
                </a:r>
                <a:endParaRPr sz="1300" b="1">
                  <a:solidFill>
                    <a:srgbClr val="16202E"/>
                  </a:solidFill>
                  <a:latin typeface="Plus Jakarta Sans"/>
                </a:endParaRPr>
              </a:p>
            </txPr>
            <showLegendKey val="0"/>
            <showVal val="1"/>
            <showCatName val="0"/>
            <showSerName val="0"/>
          </dLbls>
          <cat>
            <numRef>
              <f>'Chart - Raw vs COL-Adjusted'!$A$5:$A$7</f>
            </numRef>
          </cat>
          <val>
            <numRef>
              <f>'Chart - Raw vs COL-Adjusted'!$E$5:$E$7</f>
            </numRef>
          </val>
        </ser>
        <gapWidth val="50"/>
        <overlap val="-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B5C7CC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400" b="1">
                <a:solidFill>
                  <a:srgbClr val="16202E"/>
                </a:solidFill>
                <a:latin typeface="Plus Jakarta Sans"/>
              </a:defRPr>
            </a:pPr>
            <a:r>
              <a:t/>
            </a:r>
            <a:endParaRPr sz="1400" b="1">
              <a:solidFill>
                <a:srgbClr val="16202E"/>
              </a:solidFill>
              <a:latin typeface="Plus Jakarta Sans"/>
            </a:endParaRPr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E6EEF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300" b="1">
                    <a:solidFill>
                      <a:srgbClr val="566170"/>
                    </a:solidFill>
                    <a:latin typeface="Plus Jakarta Sans"/>
                  </a:defRPr>
                </a:pPr>
                <a:r>
                  <a:rPr sz="1300" b="1">
                    <a:solidFill>
                      <a:srgbClr val="566170"/>
                    </a:solidFill>
                    <a:latin typeface="Plus Jakarta Sans"/>
                  </a:rPr>
                  <a:t>Median earnings ($)</a:t>
                </a:r>
              </a:p>
            </rich>
          </tx>
          <overlay val="0"/>
        </title>
        <numFmt formatCode="$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200" b="0">
                <a:solidFill>
                  <a:srgbClr val="566170"/>
                </a:solidFill>
                <a:latin typeface="Plus Jakarta Sans"/>
              </a:defRPr>
            </a:pPr>
            <a:r>
              <a:t/>
            </a:r>
            <a:endParaRPr sz="1200" b="0">
              <a:solidFill>
                <a:srgbClr val="566170"/>
              </a:solidFill>
              <a:latin typeface="Plus Jakarta Sans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prstDash val="solid"/>
        </a:ln>
      </spPr>
    </plotArea>
    <legend>
      <legendPos val="b"/>
      <txPr>
        <a:bodyPr xmlns:a="http://schemas.openxmlformats.org/drawingml/2006/main"/>
        <a:p xmlns:a="http://schemas.openxmlformats.org/drawingml/2006/main">
          <a:pPr>
            <a:defRPr sz="1300" b="0">
              <a:solidFill>
                <a:srgbClr val="566170"/>
              </a:solidFill>
              <a:latin typeface="Plus Jakarta Sans"/>
            </a:defRPr>
          </a:pPr>
          <a:r>
            <a:t/>
          </a:r>
          <a:endParaRPr sz="1300" b="0">
            <a:solidFill>
              <a:srgbClr val="566170"/>
            </a:solidFill>
            <a:latin typeface="Plus Jakarta Sans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solidFill>
        <a:srgbClr val="B5C7CC"/>
      </a:solidFill>
      <a:prstDash val="solid"/>
    </a:ln>
  </spPr>
</chartSpace>
</file>

<file path=xl/charts/chart3.xml><?xml version="1.0" encoding="utf-8"?>
<chartSpace xmlns="http://schemas.openxmlformats.org/drawingml/2006/chart">
  <roundedCorners val="1"/>
  <chart>
    <title>
      <tx>
        <rich>
          <a:bodyPr xmlns:a="http://schemas.openxmlformats.org/drawingml/2006/main"/>
          <a:p xmlns:a="http://schemas.openxmlformats.org/drawingml/2006/main">
            <a:pPr>
              <a:defRPr sz="2000" b="1">
                <a:solidFill>
                  <a:srgbClr val="16202E"/>
                </a:solidFill>
                <a:latin typeface="Plus Jakarta Sans"/>
              </a:defRPr>
            </a:pPr>
            <a:r>
              <a:rPr sz="2000" b="1">
                <a:solidFill>
                  <a:srgbClr val="16202E"/>
                </a:solidFill>
                <a:latin typeface="Plus Jakarta Sans"/>
              </a:rPr>
              <a:t>My Schools vs. Their State's Bachelor's Average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'Chart - Earnings vs State'!B4</f>
            </strRef>
          </tx>
          <spPr>
            <a:solidFill xmlns:a="http://schemas.openxmlformats.org/drawingml/2006/main">
              <a:srgbClr val="0F4C5C"/>
            </a:solidFill>
            <a:ln xmlns:a="http://schemas.openxmlformats.org/drawingml/2006/main">
              <a:solidFill>
                <a:srgbClr val="0F4C5C"/>
              </a:solidFill>
              <a:prstDash val="solid"/>
            </a:ln>
          </spPr>
          <dLbls>
            <numFmt formatCode="$#,##0"/>
            <txPr>
              <a:bodyPr xmlns:a="http://schemas.openxmlformats.org/drawingml/2006/main"/>
              <a:p xmlns:a="http://schemas.openxmlformats.org/drawingml/2006/main">
                <a:pPr>
                  <a:defRPr sz="1300" b="1">
                    <a:solidFill>
                      <a:srgbClr val="16202E"/>
                    </a:solidFill>
                    <a:latin typeface="Plus Jakarta Sans"/>
                  </a:defRPr>
                </a:pPr>
                <a:r>
                  <a:t/>
                </a:r>
                <a:endParaRPr sz="1300" b="1">
                  <a:solidFill>
                    <a:srgbClr val="16202E"/>
                  </a:solidFill>
                  <a:latin typeface="Plus Jakarta Sans"/>
                </a:endParaRPr>
              </a:p>
            </txPr>
            <showLegendKey val="0"/>
            <showVal val="1"/>
            <showCatName val="0"/>
            <showSerName val="0"/>
          </dLbls>
          <cat>
            <numRef>
              <f>'Chart - Earnings vs State'!$A$5:$A$7</f>
            </numRef>
          </cat>
          <val>
            <numRef>
              <f>'Chart - Earnings vs State'!$B$5:$B$7</f>
            </numRef>
          </val>
        </ser>
        <ser>
          <idx val="1"/>
          <order val="1"/>
          <tx>
            <strRef>
              <f>'Chart - Earnings vs State'!C4</f>
            </strRef>
          </tx>
          <spPr>
            <a:solidFill xmlns:a="http://schemas.openxmlformats.org/drawingml/2006/main">
              <a:srgbClr val="B5C7CC"/>
            </a:solidFill>
            <a:ln xmlns:a="http://schemas.openxmlformats.org/drawingml/2006/main">
              <a:solidFill>
                <a:srgbClr val="B5C7CC"/>
              </a:solidFill>
              <a:prstDash val="solid"/>
            </a:ln>
          </spPr>
          <dLbls>
            <numFmt formatCode="$#,##0"/>
            <txPr>
              <a:bodyPr xmlns:a="http://schemas.openxmlformats.org/drawingml/2006/main"/>
              <a:p xmlns:a="http://schemas.openxmlformats.org/drawingml/2006/main">
                <a:pPr>
                  <a:defRPr sz="1300" b="1">
                    <a:solidFill>
                      <a:srgbClr val="16202E"/>
                    </a:solidFill>
                    <a:latin typeface="Plus Jakarta Sans"/>
                  </a:defRPr>
                </a:pPr>
                <a:r>
                  <a:t/>
                </a:r>
                <a:endParaRPr sz="1300" b="1">
                  <a:solidFill>
                    <a:srgbClr val="16202E"/>
                  </a:solidFill>
                  <a:latin typeface="Plus Jakarta Sans"/>
                </a:endParaRPr>
              </a:p>
            </txPr>
            <showLegendKey val="0"/>
            <showVal val="1"/>
            <showCatName val="0"/>
            <showSerName val="0"/>
          </dLbls>
          <cat>
            <numRef>
              <f>'Chart - Earnings vs State'!$A$5:$A$7</f>
            </numRef>
          </cat>
          <val>
            <numRef>
              <f>'Chart - Earnings vs State'!$C$5:$C$7</f>
            </numRef>
          </val>
        </ser>
        <gapWidth val="50"/>
        <overlap val="-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B5C7CC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400" b="1">
                <a:solidFill>
                  <a:srgbClr val="16202E"/>
                </a:solidFill>
                <a:latin typeface="Plus Jakarta Sans"/>
              </a:defRPr>
            </a:pPr>
            <a:r>
              <a:t/>
            </a:r>
            <a:endParaRPr sz="1400" b="1">
              <a:solidFill>
                <a:srgbClr val="16202E"/>
              </a:solidFill>
              <a:latin typeface="Plus Jakarta Sans"/>
            </a:endParaRPr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E6EEF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300" b="1">
                    <a:solidFill>
                      <a:srgbClr val="566170"/>
                    </a:solidFill>
                    <a:latin typeface="Plus Jakarta Sans"/>
                  </a:defRPr>
                </a:pPr>
                <a:r>
                  <a:rPr sz="1300" b="1">
                    <a:solidFill>
                      <a:srgbClr val="566170"/>
                    </a:solidFill>
                    <a:latin typeface="Plus Jakarta Sans"/>
                  </a:rPr>
                  <a:t>Median earnings ($)</a:t>
                </a:r>
              </a:p>
            </rich>
          </tx>
          <overlay val="0"/>
        </title>
        <numFmt formatCode="$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200" b="0">
                <a:solidFill>
                  <a:srgbClr val="566170"/>
                </a:solidFill>
                <a:latin typeface="Plus Jakarta Sans"/>
              </a:defRPr>
            </a:pPr>
            <a:r>
              <a:t/>
            </a:r>
            <a:endParaRPr sz="1200" b="0">
              <a:solidFill>
                <a:srgbClr val="566170"/>
              </a:solidFill>
              <a:latin typeface="Plus Jakarta Sans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prstDash val="solid"/>
        </a:ln>
      </spPr>
    </plotArea>
    <legend>
      <legendPos val="b"/>
      <txPr>
        <a:bodyPr xmlns:a="http://schemas.openxmlformats.org/drawingml/2006/main"/>
        <a:p xmlns:a="http://schemas.openxmlformats.org/drawingml/2006/main">
          <a:pPr>
            <a:defRPr sz="1300" b="0">
              <a:solidFill>
                <a:srgbClr val="566170"/>
              </a:solidFill>
              <a:latin typeface="Plus Jakarta Sans"/>
            </a:defRPr>
          </a:pPr>
          <a:r>
            <a:t/>
          </a:r>
          <a:endParaRPr sz="1300" b="0">
            <a:solidFill>
              <a:srgbClr val="566170"/>
            </a:solidFill>
            <a:latin typeface="Plus Jakarta Sans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solidFill>
        <a:srgbClr val="B5C7CC"/>
      </a:solidFill>
      <a:prstDash val="solid"/>
    </a:ln>
  </spPr>
</chartSpace>
</file>

<file path=xl/charts/chart4.xml><?xml version="1.0" encoding="utf-8"?>
<chartSpace xmlns="http://schemas.openxmlformats.org/drawingml/2006/chart">
  <roundedCorners val="1"/>
  <chart>
    <title>
      <tx>
        <rich>
          <a:bodyPr xmlns:a="http://schemas.openxmlformats.org/drawingml/2006/main"/>
          <a:p xmlns:a="http://schemas.openxmlformats.org/drawingml/2006/main">
            <a:pPr>
              <a:defRPr sz="2000" b="1">
                <a:solidFill>
                  <a:srgbClr val="16202E"/>
                </a:solidFill>
                <a:latin typeface="Plus Jakarta Sans"/>
              </a:defRPr>
            </a:pPr>
            <a:r>
              <a:rPr sz="2000" b="1">
                <a:solidFill>
                  <a:srgbClr val="16202E"/>
                </a:solidFill>
                <a:latin typeface="Plus Jakarta Sans"/>
              </a:rPr>
              <a:t>Return per Tuition-Dollar: My Schools vs. the Average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'Chart - Tuition Return'!E4</f>
            </strRef>
          </tx>
          <spPr>
            <a:solidFill xmlns:a="http://schemas.openxmlformats.org/drawingml/2006/main">
              <a:srgbClr val="0F4C5C"/>
            </a:solidFill>
            <a:ln xmlns:a="http://schemas.openxmlformats.org/drawingml/2006/main">
              <a:solidFill>
                <a:srgbClr val="0F4C5C"/>
              </a:solidFill>
              <a:prstDash val="solid"/>
            </a:ln>
          </spPr>
          <dPt>
            <idx val="3"/>
            <spPr>
              <a:solidFill xmlns:a="http://schemas.openxmlformats.org/drawingml/2006/main">
                <a:srgbClr val="3B8EA0"/>
              </a:solidFill>
              <a:ln xmlns:a="http://schemas.openxmlformats.org/drawingml/2006/main">
                <a:solidFill>
                  <a:srgbClr val="3B8EA0"/>
                </a:solidFill>
                <a:prstDash val="solid"/>
              </a:ln>
            </spPr>
          </dPt>
          <dLbls>
            <numFmt formatCode="0.00"/>
            <txPr>
              <a:bodyPr xmlns:a="http://schemas.openxmlformats.org/drawingml/2006/main"/>
              <a:p xmlns:a="http://schemas.openxmlformats.org/drawingml/2006/main">
                <a:pPr>
                  <a:defRPr sz="1300" b="1">
                    <a:solidFill>
                      <a:srgbClr val="16202E"/>
                    </a:solidFill>
                    <a:latin typeface="Plus Jakarta Sans"/>
                  </a:defRPr>
                </a:pPr>
                <a:r>
                  <a:t/>
                </a:r>
                <a:endParaRPr sz="1300" b="1">
                  <a:solidFill>
                    <a:srgbClr val="16202E"/>
                  </a:solidFill>
                  <a:latin typeface="Plus Jakarta Sans"/>
                </a:endParaRPr>
              </a:p>
            </txPr>
            <showLegendKey val="0"/>
            <showVal val="1"/>
            <showCatName val="0"/>
            <showSerName val="0"/>
          </dLbls>
          <cat>
            <numRef>
              <f>'Chart - Tuition Return'!$A$5:$A$8</f>
            </numRef>
          </cat>
          <val>
            <numRef>
              <f>'Chart - Tuition Return'!$E$5:$E$8</f>
            </numRef>
          </val>
        </ser>
        <ser>
          <idx val="1"/>
          <order val="1"/>
          <tx>
            <strRef>
              <f>'Chart - Tuition Return'!F4</f>
            </strRef>
          </tx>
          <spPr>
            <a:solidFill xmlns:a="http://schemas.openxmlformats.org/drawingml/2006/main">
              <a:srgbClr val="B5C7CC"/>
            </a:solidFill>
            <a:ln xmlns:a="http://schemas.openxmlformats.org/drawingml/2006/main">
              <a:solidFill>
                <a:srgbClr val="B5C7CC"/>
              </a:solidFill>
              <a:prstDash val="solid"/>
            </a:ln>
          </spPr>
          <dLbls>
            <numFmt formatCode="0.00"/>
            <txPr>
              <a:bodyPr xmlns:a="http://schemas.openxmlformats.org/drawingml/2006/main"/>
              <a:p xmlns:a="http://schemas.openxmlformats.org/drawingml/2006/main">
                <a:pPr>
                  <a:defRPr sz="1300" b="1">
                    <a:solidFill>
                      <a:srgbClr val="16202E"/>
                    </a:solidFill>
                    <a:latin typeface="Plus Jakarta Sans"/>
                  </a:defRPr>
                </a:pPr>
                <a:r>
                  <a:t/>
                </a:r>
                <a:endParaRPr sz="1300" b="1">
                  <a:solidFill>
                    <a:srgbClr val="16202E"/>
                  </a:solidFill>
                  <a:latin typeface="Plus Jakarta Sans"/>
                </a:endParaRPr>
              </a:p>
            </txPr>
            <showLegendKey val="0"/>
            <showVal val="1"/>
            <showCatName val="0"/>
            <showSerName val="0"/>
          </dLbls>
          <cat>
            <numRef>
              <f>'Chart - Tuition Return'!$A$5:$A$8</f>
            </numRef>
          </cat>
          <val>
            <numRef>
              <f>'Chart - Tuition Return'!$F$5:$F$8</f>
            </numRef>
          </val>
        </ser>
        <gapWidth val="50"/>
        <overlap val="-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B5C7CC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400" b="1">
                <a:solidFill>
                  <a:srgbClr val="16202E"/>
                </a:solidFill>
                <a:latin typeface="Plus Jakarta Sans"/>
              </a:defRPr>
            </a:pPr>
            <a:r>
              <a:t/>
            </a:r>
            <a:endParaRPr sz="1400" b="1">
              <a:solidFill>
                <a:srgbClr val="16202E"/>
              </a:solidFill>
              <a:latin typeface="Plus Jakarta Sans"/>
            </a:endParaRPr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E6EEF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300" b="1">
                    <a:solidFill>
                      <a:srgbClr val="566170"/>
                    </a:solidFill>
                    <a:latin typeface="Plus Jakarta Sans"/>
                  </a:defRPr>
                </a:pPr>
                <a:r>
                  <a:rPr sz="1300" b="1">
                    <a:solidFill>
                      <a:srgbClr val="566170"/>
                    </a:solidFill>
                    <a:latin typeface="Plus Jakarta Sans"/>
                  </a:rPr>
                  <a:t>10-yr earnings per $1 of 4-yr tuition</a:t>
                </a:r>
              </a:p>
            </rich>
          </tx>
          <overlay val="0"/>
        </title>
        <numFmt formatCode="0.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200" b="0">
                <a:solidFill>
                  <a:srgbClr val="566170"/>
                </a:solidFill>
                <a:latin typeface="Plus Jakarta Sans"/>
              </a:defRPr>
            </a:pPr>
            <a:r>
              <a:t/>
            </a:r>
            <a:endParaRPr sz="1200" b="0">
              <a:solidFill>
                <a:srgbClr val="566170"/>
              </a:solidFill>
              <a:latin typeface="Plus Jakarta Sans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prstDash val="solid"/>
        </a:ln>
      </spPr>
    </plotArea>
    <legend>
      <legendPos val="b"/>
      <txPr>
        <a:bodyPr xmlns:a="http://schemas.openxmlformats.org/drawingml/2006/main"/>
        <a:p xmlns:a="http://schemas.openxmlformats.org/drawingml/2006/main">
          <a:pPr>
            <a:defRPr sz="1300" b="0">
              <a:solidFill>
                <a:srgbClr val="566170"/>
              </a:solidFill>
              <a:latin typeface="Plus Jakarta Sans"/>
            </a:defRPr>
          </a:pPr>
          <a:r>
            <a:t/>
          </a:r>
          <a:endParaRPr sz="1300" b="0">
            <a:solidFill>
              <a:srgbClr val="566170"/>
            </a:solidFill>
            <a:latin typeface="Plus Jakarta Sans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solidFill>
        <a:srgbClr val="B5C7CC"/>
      </a:solidFill>
      <a:prstDash val="solid"/>
    </a:ln>
  </spPr>
</chartSpace>
</file>

<file path=xl/charts/chart5.xml><?xml version="1.0" encoding="utf-8"?>
<chartSpace xmlns="http://schemas.openxmlformats.org/drawingml/2006/chart">
  <roundedCorners val="1"/>
  <chart>
    <title>
      <tx>
        <rich>
          <a:bodyPr xmlns:a="http://schemas.openxmlformats.org/drawingml/2006/main"/>
          <a:p xmlns:a="http://schemas.openxmlformats.org/drawingml/2006/main">
            <a:pPr>
              <a:defRPr sz="2000" b="1">
                <a:solidFill>
                  <a:srgbClr val="16202E"/>
                </a:solidFill>
                <a:latin typeface="Plus Jakarta Sans"/>
              </a:defRPr>
            </a:pPr>
            <a:r>
              <a:rPr sz="2000" b="1">
                <a:solidFill>
                  <a:srgbClr val="16202E"/>
                </a:solidFill>
                <a:latin typeface="Plus Jakarta Sans"/>
              </a:rPr>
              <a:t>Debt Burden: Median Debt as % of 10-Year Earnings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'Chart - Debt Burden'!D4</f>
            </strRef>
          </tx>
          <spPr>
            <a:solidFill xmlns:a="http://schemas.openxmlformats.org/drawingml/2006/main">
              <a:srgbClr val="0F4C5C"/>
            </a:solidFill>
            <a:ln xmlns:a="http://schemas.openxmlformats.org/drawingml/2006/main">
              <a:solidFill>
                <a:srgbClr val="0F4C5C"/>
              </a:solidFill>
              <a:prstDash val="solid"/>
            </a:ln>
          </spPr>
          <dPt>
            <idx val="3"/>
            <spPr>
              <a:solidFill xmlns:a="http://schemas.openxmlformats.org/drawingml/2006/main">
                <a:srgbClr val="3B8EA0"/>
              </a:solidFill>
              <a:ln xmlns:a="http://schemas.openxmlformats.org/drawingml/2006/main">
                <a:solidFill>
                  <a:srgbClr val="3B8EA0"/>
                </a:solidFill>
                <a:prstDash val="solid"/>
              </a:ln>
            </spPr>
          </dPt>
          <dLbls>
            <numFmt formatCode="0.0&quot;%&quot;"/>
            <txPr>
              <a:bodyPr xmlns:a="http://schemas.openxmlformats.org/drawingml/2006/main"/>
              <a:p xmlns:a="http://schemas.openxmlformats.org/drawingml/2006/main">
                <a:pPr>
                  <a:defRPr sz="1300" b="1">
                    <a:solidFill>
                      <a:srgbClr val="16202E"/>
                    </a:solidFill>
                    <a:latin typeface="Plus Jakarta Sans"/>
                  </a:defRPr>
                </a:pPr>
                <a:r>
                  <a:t/>
                </a:r>
                <a:endParaRPr sz="1300" b="1">
                  <a:solidFill>
                    <a:srgbClr val="16202E"/>
                  </a:solidFill>
                  <a:latin typeface="Plus Jakarta Sans"/>
                </a:endParaRPr>
              </a:p>
            </txPr>
            <showLegendKey val="0"/>
            <showVal val="1"/>
            <showCatName val="0"/>
            <showSerName val="0"/>
          </dLbls>
          <cat>
            <numRef>
              <f>'Chart - Debt Burden'!$A$5:$A$8</f>
            </numRef>
          </cat>
          <val>
            <numRef>
              <f>'Chart - Debt Burden'!$D$5:$D$8</f>
            </numRef>
          </val>
        </ser>
        <gapWidth val="50"/>
        <overlap val="-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B5C7CC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400" b="1">
                <a:solidFill>
                  <a:srgbClr val="16202E"/>
                </a:solidFill>
                <a:latin typeface="Plus Jakarta Sans"/>
              </a:defRPr>
            </a:pPr>
            <a:r>
              <a:t/>
            </a:r>
            <a:endParaRPr sz="1400" b="1">
              <a:solidFill>
                <a:srgbClr val="16202E"/>
              </a:solidFill>
              <a:latin typeface="Plus Jakarta Sans"/>
            </a:endParaRPr>
          </a:p>
        </txPr>
        <crossAx val="100"/>
        <lblOffset val="100"/>
      </catAx>
      <valAx>
        <axId val="100"/>
        <scaling>
          <orientation val="minMax"/>
          <max val="40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E6EEF0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300" b="1">
                    <a:solidFill>
                      <a:srgbClr val="566170"/>
                    </a:solidFill>
                    <a:latin typeface="Plus Jakarta Sans"/>
                  </a:defRPr>
                </a:pPr>
                <a:r>
                  <a:rPr sz="1300" b="1">
                    <a:solidFill>
                      <a:srgbClr val="566170"/>
                    </a:solidFill>
                    <a:latin typeface="Plus Jakarta Sans"/>
                  </a:rPr>
                  <a:t>Debt as % of earnings</a:t>
                </a:r>
              </a:p>
            </rich>
          </tx>
          <overlay val="0"/>
        </title>
        <numFmt formatCode="0&quot;%&quot;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200" b="0">
                <a:solidFill>
                  <a:srgbClr val="566170"/>
                </a:solidFill>
                <a:latin typeface="Plus Jakarta Sans"/>
              </a:defRPr>
            </a:pPr>
            <a:r>
              <a:t/>
            </a:r>
            <a:endParaRPr sz="1200" b="0">
              <a:solidFill>
                <a:srgbClr val="566170"/>
              </a:solidFill>
              <a:latin typeface="Plus Jakarta Sans"/>
            </a:endParaRPr>
          </a:p>
        </txPr>
        <crossAx val="10"/>
      </valAx>
      <spPr>
        <a:noFill xmlns:a="http://schemas.openxmlformats.org/drawingml/2006/main"/>
        <a:ln xmlns:a="http://schemas.openxmlformats.org/drawingml/2006/main">
          <a:prstDash val="solid"/>
        </a:ln>
      </spPr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solidFill>
        <a:srgbClr val="B5C7CC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13</row>
      <rowOff>0</rowOff>
    </from>
    <ext cx="864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9</row>
      <rowOff>0</rowOff>
    </from>
    <ext cx="936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9</row>
      <rowOff>0</rowOff>
    </from>
    <ext cx="936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10</row>
      <rowOff>0</rowOff>
    </from>
    <ext cx="936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10</row>
      <rowOff>0</rowOff>
    </from>
    <ext cx="936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8" customWidth="1" min="5" max="5"/>
    <col width="13" customWidth="1" min="6" max="6"/>
    <col width="13" customWidth="1" min="7" max="7"/>
    <col width="20" customWidth="1" min="8" max="8"/>
    <col width="24" customWidth="1" min="9" max="9"/>
    <col width="24" customWidth="1" min="10" max="10"/>
    <col width="19" customWidth="1" min="11" max="11"/>
    <col width="15" customWidth="1" min="12" max="12"/>
    <col width="13" customWidth="1" min="13" max="13"/>
    <col width="18" customWidth="1" min="14" max="14"/>
    <col width="21" customWidth="1" min="15" max="15"/>
    <col width="24" customWidth="1" min="16" max="16"/>
    <col width="24" customWidth="1" min="17" max="17"/>
    <col width="19" customWidth="1" min="18" max="18"/>
    <col width="17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60" customWidth="1" min="31" max="31"/>
  </cols>
  <sheetData>
    <row r="1" ht="48" customHeight="1">
      <c r="A1" s="1" t="inlineStr">
        <is>
          <t>University</t>
        </is>
      </c>
      <c r="B1" s="1" t="inlineStr">
        <is>
          <t>State</t>
        </is>
      </c>
      <c r="C1" s="1" t="inlineStr">
        <is>
          <t>State Name</t>
        </is>
      </c>
      <c r="D1" s="1" t="inlineStr">
        <is>
          <t>City</t>
        </is>
      </c>
      <c r="E1" s="1" t="inlineStr">
        <is>
          <t>Admission Rate (%)</t>
        </is>
      </c>
      <c r="F1" s="1" t="inlineStr">
        <is>
          <t>Average SAT</t>
        </is>
      </c>
      <c r="G1" s="1" t="inlineStr">
        <is>
          <t>Student Size</t>
        </is>
      </c>
      <c r="H1" s="1" t="inlineStr">
        <is>
          <t>In-State Tuition ($)</t>
        </is>
      </c>
      <c r="I1" s="1" t="inlineStr">
        <is>
          <t>Out-of-State Tuition ($)</t>
        </is>
      </c>
      <c r="J1" s="1" t="inlineStr">
        <is>
          <t>Median Earnings 10yr ($)</t>
        </is>
      </c>
      <c r="K1" s="1" t="inlineStr">
        <is>
          <t>Completion Rate (%)</t>
        </is>
      </c>
      <c r="L1" s="1" t="inlineStr">
        <is>
          <t>Median Debt ($)</t>
        </is>
      </c>
      <c r="M1" s="1" t="inlineStr">
        <is>
          <t>Nobel Prizes</t>
        </is>
      </c>
      <c r="N1" s="1" t="inlineStr">
        <is>
          <t>March Madness 2026</t>
        </is>
      </c>
      <c r="O1" s="1" t="inlineStr">
        <is>
          <t>State HS Earnings ($)</t>
        </is>
      </c>
      <c r="P1" s="1" t="inlineStr">
        <is>
          <t>State Bachelor's Earnings ($)</t>
        </is>
      </c>
      <c r="Q1" s="1" t="inlineStr">
        <is>
          <t>State College Premium ($)</t>
        </is>
      </c>
      <c r="R1" s="1" t="inlineStr">
        <is>
          <t>State Premium Ratio</t>
        </is>
      </c>
      <c r="S1" s="1" t="inlineStr">
        <is>
          <t>State Premium (%)</t>
        </is>
      </c>
      <c r="T1" s="1" t="inlineStr">
        <is>
          <t>State Cost of Living Index</t>
        </is>
      </c>
      <c r="U1" s="2" t="inlineStr">
        <is>
          <t>Earnings vs State Bachelor's ($)</t>
        </is>
      </c>
      <c r="V1" s="2" t="inlineStr">
        <is>
          <t>Earnings / State Bachelor's</t>
        </is>
      </c>
      <c r="W1" s="2" t="inlineStr">
        <is>
          <t>COL-Adjusted Earnings ($)</t>
        </is>
      </c>
      <c r="X1" s="2" t="inlineStr">
        <is>
          <t>Earnings per Tuition-Dollar (Out-of-State, 4yr)</t>
        </is>
      </c>
      <c r="Y1" s="2" t="inlineStr">
        <is>
          <t>Earnings per Tuition-Dollar (In-State, 4yr)</t>
        </is>
      </c>
      <c r="Z1" s="2" t="inlineStr">
        <is>
          <t>Above State Bachelor's Average?</t>
        </is>
      </c>
      <c r="AA1" s="2" t="inlineStr">
        <is>
          <t>Rank: Earnings / State Bachelor's (1=best)</t>
        </is>
      </c>
      <c r="AB1" s="2" t="inlineStr">
        <is>
          <t>Rank: COL-Adjusted Earnings (1=best)</t>
        </is>
      </c>
      <c r="AC1" s="2" t="inlineStr">
        <is>
          <t>Debt as % of 10yr Earnings</t>
        </is>
      </c>
      <c r="AD1" s="2" t="inlineStr">
        <is>
          <t>Nobel Prizes per 10,000 Students</t>
        </is>
      </c>
      <c r="AE1" s="1" t="inlineStr">
        <is>
          <t>Source</t>
        </is>
      </c>
    </row>
    <row r="2">
      <c r="A2" t="inlineStr">
        <is>
          <t>Stanford University</t>
        </is>
      </c>
      <c r="B2" t="inlineStr">
        <is>
          <t>CA</t>
        </is>
      </c>
      <c r="C2" t="inlineStr">
        <is>
          <t>California</t>
        </is>
      </c>
      <c r="D2" t="inlineStr">
        <is>
          <t>Stanford</t>
        </is>
      </c>
      <c r="E2" s="3" t="n">
        <v>3.6</v>
      </c>
      <c r="F2" t="n">
        <v>1553</v>
      </c>
      <c r="G2" t="n">
        <v>7554</v>
      </c>
      <c r="H2" s="4" t="n">
        <v>65910</v>
      </c>
      <c r="I2" s="4" t="n">
        <v>65910</v>
      </c>
      <c r="J2" s="4" t="n">
        <v>124080</v>
      </c>
      <c r="K2" s="3" t="n">
        <v>92.40000000000001</v>
      </c>
      <c r="L2" s="4" t="n">
        <v>12000</v>
      </c>
      <c r="M2" t="n">
        <v>22</v>
      </c>
      <c r="N2" t="inlineStr">
        <is>
          <t>No</t>
        </is>
      </c>
      <c r="O2" s="4" t="n">
        <v>40803</v>
      </c>
      <c r="P2" s="4" t="n">
        <v>78278</v>
      </c>
      <c r="Q2" s="4" t="n">
        <v>37475</v>
      </c>
      <c r="R2" s="5" t="n">
        <v>1.92</v>
      </c>
      <c r="S2" s="3" t="n">
        <v>92</v>
      </c>
      <c r="T2" s="3" t="n">
        <v>110.7</v>
      </c>
      <c r="U2" s="4">
        <f>J2-P2</f>
        <v>45802</v>
      </c>
      <c r="V2" s="5">
        <f>ROUND(J2/P2,3)</f>
        <v>1.585</v>
      </c>
      <c r="W2" s="4">
        <f>ROUND(J2/(T2/100),0)</f>
        <v>112087</v>
      </c>
      <c r="X2" s="5">
        <f>ROUND(J2/(I2*4),3)</f>
        <v>0.471</v>
      </c>
      <c r="Y2" s="5">
        <f>ROUND(J2/(H2*4),3)</f>
        <v>0.471</v>
      </c>
      <c r="Z2" t="str">
        <f>IF(J2&gt;P2,"Yes","No")</f>
        <v>Yes</v>
      </c>
      <c r="AA2" s="6">
        <f>RANK(V2,V$2:V$201,0)</f>
        <v>7</v>
      </c>
      <c r="AB2" s="6">
        <f>RANK(W2,W$2:W$201,0)</f>
        <v>3</v>
      </c>
      <c r="AC2" s="3">
        <f>ROUND(L2/J2*100,1)</f>
        <v>9.699999999999999</v>
      </c>
      <c r="AD2" s="5">
        <f>ROUND(M2/G2*10000,2)</f>
        <v>29.12</v>
      </c>
      <c r="AE2" t="inlineStr">
        <is>
          <t>College Scorecard (US Dept. of Education); Nobel Prize API; NCAA; state columns: US Census, Bureau of Economic Analysis</t>
        </is>
      </c>
    </row>
    <row r="3">
      <c r="A3" t="inlineStr">
        <is>
          <t>Harvard University</t>
        </is>
      </c>
      <c r="B3" t="inlineStr">
        <is>
          <t>MA</t>
        </is>
      </c>
      <c r="C3" t="inlineStr">
        <is>
          <t>Massachusetts</t>
        </is>
      </c>
      <c r="D3" t="inlineStr">
        <is>
          <t>Cambridge</t>
        </is>
      </c>
      <c r="E3" s="3" t="n">
        <v>3.6</v>
      </c>
      <c r="F3" t="n">
        <v>1553</v>
      </c>
      <c r="G3" t="n">
        <v>7601</v>
      </c>
      <c r="H3" s="4" t="n">
        <v>61676</v>
      </c>
      <c r="I3" s="4" t="n">
        <v>61676</v>
      </c>
      <c r="J3" s="4" t="n">
        <v>101817</v>
      </c>
      <c r="K3" s="3" t="n">
        <v>97.5</v>
      </c>
      <c r="L3" s="4" t="n">
        <v>14000</v>
      </c>
      <c r="M3" t="n">
        <v>29</v>
      </c>
      <c r="N3" t="inlineStr">
        <is>
          <t>No</t>
        </is>
      </c>
      <c r="O3" s="4" t="n">
        <v>43761</v>
      </c>
      <c r="P3" s="4" t="n">
        <v>79985</v>
      </c>
      <c r="Q3" s="4" t="n">
        <v>36224</v>
      </c>
      <c r="R3" s="5" t="n">
        <v>1.83</v>
      </c>
      <c r="S3" s="3" t="n">
        <v>83</v>
      </c>
      <c r="T3" s="3" t="n">
        <v>105.8</v>
      </c>
      <c r="U3" s="4">
        <f>J3-P3</f>
        <v>21832</v>
      </c>
      <c r="V3" s="5">
        <f>ROUND(J3/P3,3)</f>
        <v>1.273</v>
      </c>
      <c r="W3" s="4">
        <f>ROUND(J3/(T3/100),0)</f>
        <v>96235</v>
      </c>
      <c r="X3" s="5">
        <f>ROUND(J3/(I3*4),3)</f>
        <v>0.413</v>
      </c>
      <c r="Y3" s="5">
        <f>ROUND(J3/(H3*4),3)</f>
        <v>0.413</v>
      </c>
      <c r="Z3" t="str">
        <f>IF(J3&gt;P3,"Yes","No")</f>
        <v>Yes</v>
      </c>
      <c r="AA3" s="6">
        <f>RANK(V3,V$2:V$201,0)</f>
        <v>29</v>
      </c>
      <c r="AB3" s="6">
        <f>RANK(W3,W$2:W$201,0)</f>
        <v>16</v>
      </c>
      <c r="AC3" s="3">
        <f>ROUND(L3/J3*100,1)</f>
        <v>13.8</v>
      </c>
      <c r="AD3" s="5">
        <f>ROUND(M3/G3*10000,2)</f>
        <v>38.15</v>
      </c>
      <c r="AE3" t="inlineStr">
        <is>
          <t>College Scorecard (US Dept. of Education); Nobel Prize API; NCAA; state columns: US Census, Bureau of Economic Analysis</t>
        </is>
      </c>
    </row>
    <row r="4">
      <c r="A4" t="inlineStr">
        <is>
          <t>Yale University</t>
        </is>
      </c>
      <c r="B4" t="inlineStr">
        <is>
          <t>CT</t>
        </is>
      </c>
      <c r="C4" t="inlineStr">
        <is>
          <t>Connecticut</t>
        </is>
      </c>
      <c r="D4" t="inlineStr">
        <is>
          <t>New Haven</t>
        </is>
      </c>
      <c r="E4" s="3" t="n">
        <v>3.9</v>
      </c>
      <c r="F4" t="n">
        <v>1534</v>
      </c>
      <c r="G4" t="n">
        <v>6758</v>
      </c>
      <c r="H4" s="4" t="n">
        <v>67250</v>
      </c>
      <c r="I4" s="4" t="n">
        <v>67250</v>
      </c>
      <c r="J4" s="4" t="n">
        <v>100533</v>
      </c>
      <c r="K4" s="3" t="n">
        <v>96</v>
      </c>
      <c r="L4" s="4" t="n">
        <v>12975</v>
      </c>
      <c r="M4" t="n">
        <v>9</v>
      </c>
      <c r="N4" t="inlineStr">
        <is>
          <t>No</t>
        </is>
      </c>
      <c r="O4" s="4" t="n">
        <v>42120</v>
      </c>
      <c r="P4" s="4" t="n">
        <v>75975</v>
      </c>
      <c r="Q4" s="4" t="n">
        <v>33855</v>
      </c>
      <c r="R4" s="5" t="n">
        <v>1.8</v>
      </c>
      <c r="S4" s="3" t="n">
        <v>80</v>
      </c>
      <c r="T4" s="3" t="n">
        <v>103.6</v>
      </c>
      <c r="U4" s="4">
        <f>J4-P4</f>
        <v>24558</v>
      </c>
      <c r="V4" s="5">
        <f>ROUND(J4/P4,3)</f>
        <v>1.323</v>
      </c>
      <c r="W4" s="4">
        <f>ROUND(J4/(T4/100),0)</f>
        <v>97040</v>
      </c>
      <c r="X4" s="5">
        <f>ROUND(J4/(I4*4),3)</f>
        <v>0.374</v>
      </c>
      <c r="Y4" s="5">
        <f>ROUND(J4/(H4*4),3)</f>
        <v>0.374</v>
      </c>
      <c r="Z4" t="str">
        <f>IF(J4&gt;P4,"Yes","No")</f>
        <v>Yes</v>
      </c>
      <c r="AA4" s="6">
        <f>RANK(V4,V$2:V$201,0)</f>
        <v>23</v>
      </c>
      <c r="AB4" s="6">
        <f>RANK(W4,W$2:W$201,0)</f>
        <v>14</v>
      </c>
      <c r="AC4" s="3">
        <f>ROUND(L4/J4*100,1)</f>
        <v>12.9</v>
      </c>
      <c r="AD4" s="5">
        <f>ROUND(M4/G4*10000,2)</f>
        <v>13.32</v>
      </c>
      <c r="AE4" t="inlineStr">
        <is>
          <t>College Scorecard (US Dept. of Education); Nobel Prize API; NCAA; state columns: US Census, Bureau of Economic Analysis</t>
        </is>
      </c>
    </row>
    <row r="5">
      <c r="A5" t="inlineStr">
        <is>
          <t>Columbia University in the City of New York</t>
        </is>
      </c>
      <c r="B5" t="inlineStr">
        <is>
          <t>NY</t>
        </is>
      </c>
      <c r="C5" t="inlineStr">
        <is>
          <t>New York</t>
        </is>
      </c>
      <c r="D5" t="inlineStr">
        <is>
          <t>New York</t>
        </is>
      </c>
      <c r="E5" s="3" t="n">
        <v>4</v>
      </c>
      <c r="F5" t="n">
        <v>1553</v>
      </c>
      <c r="G5" t="n">
        <v>8973</v>
      </c>
      <c r="H5" s="4" t="n">
        <v>71845</v>
      </c>
      <c r="I5" s="4" t="n">
        <v>71845</v>
      </c>
      <c r="J5" s="4" t="n">
        <v>102491</v>
      </c>
      <c r="K5" s="3" t="n">
        <v>95.5</v>
      </c>
      <c r="L5" s="4" t="n">
        <v>21500</v>
      </c>
      <c r="M5" t="n">
        <v>18</v>
      </c>
      <c r="N5" t="inlineStr">
        <is>
          <t>No</t>
        </is>
      </c>
      <c r="O5" s="4" t="n">
        <v>39771</v>
      </c>
      <c r="P5" s="4" t="n">
        <v>74504</v>
      </c>
      <c r="Q5" s="4" t="n">
        <v>34733</v>
      </c>
      <c r="R5" s="5" t="n">
        <v>1.87</v>
      </c>
      <c r="S5" s="3" t="n">
        <v>87</v>
      </c>
      <c r="T5" s="3" t="n">
        <v>107.9</v>
      </c>
      <c r="U5" s="4">
        <f>J5-P5</f>
        <v>27987</v>
      </c>
      <c r="V5" s="5">
        <f>ROUND(J5/P5,3)</f>
        <v>1.376</v>
      </c>
      <c r="W5" s="4">
        <f>ROUND(J5/(T5/100),0)</f>
        <v>94987</v>
      </c>
      <c r="X5" s="5">
        <f>ROUND(J5/(I5*4),3)</f>
        <v>0.357</v>
      </c>
      <c r="Y5" s="5">
        <f>ROUND(J5/(H5*4),3)</f>
        <v>0.357</v>
      </c>
      <c r="Z5" t="str">
        <f>IF(J5&gt;P5,"Yes","No")</f>
        <v>Yes</v>
      </c>
      <c r="AA5" s="6">
        <f>RANK(V5,V$2:V$201,0)</f>
        <v>16</v>
      </c>
      <c r="AB5" s="6">
        <f>RANK(W5,W$2:W$201,0)</f>
        <v>17</v>
      </c>
      <c r="AC5" s="3">
        <f>ROUND(L5/J5*100,1)</f>
        <v>21</v>
      </c>
      <c r="AD5" s="5">
        <f>ROUND(M5/G5*10000,2)</f>
        <v>20.06</v>
      </c>
      <c r="AE5" t="inlineStr">
        <is>
          <t>College Scorecard (US Dept. of Education); Nobel Prize API; NCAA; state columns: US Census, Bureau of Economic Analysis</t>
        </is>
      </c>
    </row>
    <row r="6">
      <c r="A6" t="inlineStr">
        <is>
          <t>University of Chicago</t>
        </is>
      </c>
      <c r="B6" t="inlineStr">
        <is>
          <t>IL</t>
        </is>
      </c>
      <c r="C6" t="inlineStr">
        <is>
          <t>Illinois</t>
        </is>
      </c>
      <c r="D6" t="inlineStr">
        <is>
          <t>Chicago</t>
        </is>
      </c>
      <c r="E6" s="3" t="n">
        <v>4.5</v>
      </c>
      <c r="F6" t="n">
        <v>1554</v>
      </c>
      <c r="G6" t="n">
        <v>7569</v>
      </c>
      <c r="H6" s="4" t="n">
        <v>70662</v>
      </c>
      <c r="I6" s="4" t="n">
        <v>70662</v>
      </c>
      <c r="J6" s="4" t="n">
        <v>91885</v>
      </c>
      <c r="K6" s="3" t="n">
        <v>95.40000000000001</v>
      </c>
      <c r="L6" s="4" t="n">
        <v>15000</v>
      </c>
      <c r="M6" t="n">
        <v>20</v>
      </c>
      <c r="N6" t="inlineStr">
        <is>
          <t>No</t>
        </is>
      </c>
      <c r="O6" s="4" t="n">
        <v>40285</v>
      </c>
      <c r="P6" s="4" t="n">
        <v>71127</v>
      </c>
      <c r="Q6" s="4" t="n">
        <v>30842</v>
      </c>
      <c r="R6" s="5" t="n">
        <v>1.77</v>
      </c>
      <c r="S6" s="3" t="n">
        <v>77</v>
      </c>
      <c r="T6" s="3" t="n">
        <v>100</v>
      </c>
      <c r="U6" s="4">
        <f>J6-P6</f>
        <v>20758</v>
      </c>
      <c r="V6" s="5">
        <f>ROUND(J6/P6,3)</f>
        <v>1.292</v>
      </c>
      <c r="W6" s="4">
        <f>ROUND(J6/(T6/100),0)</f>
        <v>91885</v>
      </c>
      <c r="X6" s="5">
        <f>ROUND(J6/(I6*4),3)</f>
        <v>0.325</v>
      </c>
      <c r="Y6" s="5">
        <f>ROUND(J6/(H6*4),3)</f>
        <v>0.325</v>
      </c>
      <c r="Z6" t="str">
        <f>IF(J6&gt;P6,"Yes","No")</f>
        <v>Yes</v>
      </c>
      <c r="AA6" s="6">
        <f>RANK(V6,V$2:V$201,0)</f>
        <v>27</v>
      </c>
      <c r="AB6" s="6">
        <f>RANK(W6,W$2:W$201,0)</f>
        <v>23</v>
      </c>
      <c r="AC6" s="3">
        <f>ROUND(L6/J6*100,1)</f>
        <v>16.3</v>
      </c>
      <c r="AD6" s="5">
        <f>ROUND(M6/G6*10000,2)</f>
        <v>26.42</v>
      </c>
      <c r="AE6" t="inlineStr">
        <is>
          <t>College Scorecard (US Dept. of Education); Nobel Prize API; NCAA; state columns: US Census, Bureau of Economic Analysis</t>
        </is>
      </c>
    </row>
    <row r="7">
      <c r="A7" t="inlineStr">
        <is>
          <t>Princeton University</t>
        </is>
      </c>
      <c r="B7" t="inlineStr">
        <is>
          <t>NJ</t>
        </is>
      </c>
      <c r="C7" t="inlineStr">
        <is>
          <t>New Jersey</t>
        </is>
      </c>
      <c r="D7" t="inlineStr">
        <is>
          <t>Princeton</t>
        </is>
      </c>
      <c r="E7" s="3" t="n">
        <v>4.6</v>
      </c>
      <c r="F7" t="n">
        <v>1553</v>
      </c>
      <c r="G7" t="n">
        <v>5709</v>
      </c>
      <c r="H7" s="4" t="n">
        <v>62688</v>
      </c>
      <c r="I7" s="4" t="n">
        <v>62688</v>
      </c>
      <c r="J7" s="4" t="n">
        <v>110066</v>
      </c>
      <c r="K7" s="3" t="n">
        <v>97.40000000000001</v>
      </c>
      <c r="L7" s="4" t="n">
        <v>10320</v>
      </c>
      <c r="M7" t="n">
        <v>18</v>
      </c>
      <c r="N7" t="inlineStr">
        <is>
          <t>No</t>
        </is>
      </c>
      <c r="O7" s="4" t="n">
        <v>41528</v>
      </c>
      <c r="P7" s="4" t="n">
        <v>80114</v>
      </c>
      <c r="Q7" s="4" t="n">
        <v>38586</v>
      </c>
      <c r="R7" s="5" t="n">
        <v>1.93</v>
      </c>
      <c r="S7" s="3" t="n">
        <v>93</v>
      </c>
      <c r="T7" s="3" t="n">
        <v>108.8</v>
      </c>
      <c r="U7" s="4">
        <f>J7-P7</f>
        <v>29952</v>
      </c>
      <c r="V7" s="5">
        <f>ROUND(J7/P7,3)</f>
        <v>1.374</v>
      </c>
      <c r="W7" s="4">
        <f>ROUND(J7/(T7/100),0)</f>
        <v>101164</v>
      </c>
      <c r="X7" s="5">
        <f>ROUND(J7/(I7*4),3)</f>
        <v>0.439</v>
      </c>
      <c r="Y7" s="5">
        <f>ROUND(J7/(H7*4),3)</f>
        <v>0.439</v>
      </c>
      <c r="Z7" t="str">
        <f>IF(J7&gt;P7,"Yes","No")</f>
        <v>Yes</v>
      </c>
      <c r="AA7" s="6">
        <f>RANK(V7,V$2:V$201,0)</f>
        <v>17</v>
      </c>
      <c r="AB7" s="6">
        <f>RANK(W7,W$2:W$201,0)</f>
        <v>9</v>
      </c>
      <c r="AC7" s="3">
        <f>ROUND(L7/J7*100,1)</f>
        <v>9.4</v>
      </c>
      <c r="AD7" s="5">
        <f>ROUND(M7/G7*10000,2)</f>
        <v>31.53</v>
      </c>
      <c r="AE7" t="inlineStr">
        <is>
          <t>College Scorecard (US Dept. of Education); Nobel Prize API; NCAA; state columns: US Census, Bureau of Economic Analysis</t>
        </is>
      </c>
    </row>
    <row r="8">
      <c r="A8" t="inlineStr">
        <is>
          <t>Northeastern University</t>
        </is>
      </c>
      <c r="B8" t="inlineStr">
        <is>
          <t>MA</t>
        </is>
      </c>
      <c r="C8" t="inlineStr">
        <is>
          <t>Massachusetts</t>
        </is>
      </c>
      <c r="D8" t="inlineStr">
        <is>
          <t>Boston</t>
        </is>
      </c>
      <c r="E8" s="3" t="n">
        <v>5.2</v>
      </c>
      <c r="F8" t="n">
        <v>1497</v>
      </c>
      <c r="G8" t="n">
        <v>17326</v>
      </c>
      <c r="H8" s="4" t="n">
        <v>66162</v>
      </c>
      <c r="I8" s="4" t="n">
        <v>66162</v>
      </c>
      <c r="J8" s="4" t="n">
        <v>92538</v>
      </c>
      <c r="K8" s="3" t="n">
        <v>90.5</v>
      </c>
      <c r="L8" s="4" t="n">
        <v>24250</v>
      </c>
      <c r="M8" t="n">
        <v>0</v>
      </c>
      <c r="N8" t="inlineStr">
        <is>
          <t>No</t>
        </is>
      </c>
      <c r="O8" s="4" t="n">
        <v>43761</v>
      </c>
      <c r="P8" s="4" t="n">
        <v>79985</v>
      </c>
      <c r="Q8" s="4" t="n">
        <v>36224</v>
      </c>
      <c r="R8" s="5" t="n">
        <v>1.83</v>
      </c>
      <c r="S8" s="3" t="n">
        <v>83</v>
      </c>
      <c r="T8" s="3" t="n">
        <v>105.8</v>
      </c>
      <c r="U8" s="4">
        <f>J8-P8</f>
        <v>12553</v>
      </c>
      <c r="V8" s="5">
        <f>ROUND(J8/P8,3)</f>
        <v>1.157</v>
      </c>
      <c r="W8" s="4">
        <f>ROUND(J8/(T8/100),0)</f>
        <v>87465</v>
      </c>
      <c r="X8" s="5">
        <f>ROUND(J8/(I8*4),3)</f>
        <v>0.35</v>
      </c>
      <c r="Y8" s="5">
        <f>ROUND(J8/(H8*4),3)</f>
        <v>0.35</v>
      </c>
      <c r="Z8" t="str">
        <f>IF(J8&gt;P8,"Yes","No")</f>
        <v>Yes</v>
      </c>
      <c r="AA8" s="6">
        <f>RANK(V8,V$2:V$201,0)</f>
        <v>47</v>
      </c>
      <c r="AB8" s="6">
        <f>RANK(W8,W$2:W$201,0)</f>
        <v>27</v>
      </c>
      <c r="AC8" s="3">
        <f>ROUND(L8/J8*100,1)</f>
        <v>26.2</v>
      </c>
      <c r="AD8" s="5">
        <f>ROUND(M8/G8*10000,2)</f>
        <v>0</v>
      </c>
      <c r="AE8" t="inlineStr">
        <is>
          <t>College Scorecard (US Dept. of Education); Nobel Prize API; NCAA; state columns: US Census, Bureau of Economic Analysis</t>
        </is>
      </c>
    </row>
    <row r="9">
      <c r="A9" t="inlineStr">
        <is>
          <t>Brown University</t>
        </is>
      </c>
      <c r="B9" t="inlineStr">
        <is>
          <t>RI</t>
        </is>
      </c>
      <c r="C9" t="inlineStr">
        <is>
          <t>Rhode Island</t>
        </is>
      </c>
      <c r="D9" t="inlineStr">
        <is>
          <t>Providence</t>
        </is>
      </c>
      <c r="E9" s="3" t="n">
        <v>5.4</v>
      </c>
      <c r="F9" t="n">
        <v>1546</v>
      </c>
      <c r="G9" t="n">
        <v>7226</v>
      </c>
      <c r="H9" s="4" t="n">
        <v>71412</v>
      </c>
      <c r="I9" s="4" t="n">
        <v>71412</v>
      </c>
      <c r="J9" s="4" t="n">
        <v>93487</v>
      </c>
      <c r="K9" s="3" t="n">
        <v>95.7</v>
      </c>
      <c r="L9" s="4" t="n">
        <v>11428</v>
      </c>
      <c r="M9" t="n">
        <v>3</v>
      </c>
      <c r="N9" t="inlineStr">
        <is>
          <t>No</t>
        </is>
      </c>
      <c r="O9" s="4" t="n">
        <v>43157</v>
      </c>
      <c r="P9" s="4" t="n">
        <v>68084</v>
      </c>
      <c r="Q9" s="4" t="n">
        <v>24927</v>
      </c>
      <c r="R9" s="5" t="n">
        <v>1.58</v>
      </c>
      <c r="S9" s="3" t="n">
        <v>58</v>
      </c>
      <c r="T9" s="3" t="n">
        <v>102.3</v>
      </c>
      <c r="U9" s="4">
        <f>J9-P9</f>
        <v>25403</v>
      </c>
      <c r="V9" s="5">
        <f>ROUND(J9/P9,3)</f>
        <v>1.373</v>
      </c>
      <c r="W9" s="4">
        <f>ROUND(J9/(T9/100),0)</f>
        <v>91385</v>
      </c>
      <c r="X9" s="5">
        <f>ROUND(J9/(I9*4),3)</f>
        <v>0.327</v>
      </c>
      <c r="Y9" s="5">
        <f>ROUND(J9/(H9*4),3)</f>
        <v>0.327</v>
      </c>
      <c r="Z9" t="str">
        <f>IF(J9&gt;P9,"Yes","No")</f>
        <v>Yes</v>
      </c>
      <c r="AA9" s="6">
        <f>RANK(V9,V$2:V$201,0)</f>
        <v>18</v>
      </c>
      <c r="AB9" s="6">
        <f>RANK(W9,W$2:W$201,0)</f>
        <v>24</v>
      </c>
      <c r="AC9" s="3">
        <f>ROUND(L9/J9*100,1)</f>
        <v>12.2</v>
      </c>
      <c r="AD9" s="5">
        <f>ROUND(M9/G9*10000,2)</f>
        <v>4.15</v>
      </c>
      <c r="AE9" t="inlineStr">
        <is>
          <t>College Scorecard (US Dept. of Education); Nobel Prize API; NCAA; state columns: US Census, Bureau of Economic Analysis</t>
        </is>
      </c>
    </row>
    <row r="10">
      <c r="A10" t="inlineStr">
        <is>
          <t>University of Pennsylvania</t>
        </is>
      </c>
      <c r="B10" t="inlineStr">
        <is>
          <t>PA</t>
        </is>
      </c>
      <c r="C10" t="inlineStr">
        <is>
          <t>Pennsylvania</t>
        </is>
      </c>
      <c r="D10" t="inlineStr">
        <is>
          <t>Philadelphia</t>
        </is>
      </c>
      <c r="E10" s="3" t="n">
        <v>5.4</v>
      </c>
      <c r="F10" t="n">
        <v>1553</v>
      </c>
      <c r="G10" t="n">
        <v>10650</v>
      </c>
      <c r="H10" s="4" t="n">
        <v>68686</v>
      </c>
      <c r="I10" s="4" t="n">
        <v>68686</v>
      </c>
      <c r="J10" s="4" t="n">
        <v>111371</v>
      </c>
      <c r="K10" s="3" t="n">
        <v>96.7</v>
      </c>
      <c r="L10" s="4" t="n">
        <v>15715</v>
      </c>
      <c r="M10" t="n">
        <v>5</v>
      </c>
      <c r="N10" t="inlineStr">
        <is>
          <t>Yes</t>
        </is>
      </c>
      <c r="O10" s="4" t="n">
        <v>40336</v>
      </c>
      <c r="P10" s="4" t="n">
        <v>65678</v>
      </c>
      <c r="Q10" s="4" t="n">
        <v>25342</v>
      </c>
      <c r="R10" s="5" t="n">
        <v>1.63</v>
      </c>
      <c r="S10" s="3" t="n">
        <v>63</v>
      </c>
      <c r="T10" s="3" t="n">
        <v>97.59999999999999</v>
      </c>
      <c r="U10" s="4">
        <f>J10-P10</f>
        <v>45693</v>
      </c>
      <c r="V10" s="5">
        <f>ROUND(J10/P10,3)</f>
        <v>1.696</v>
      </c>
      <c r="W10" s="4">
        <f>ROUND(J10/(T10/100),0)</f>
        <v>114110</v>
      </c>
      <c r="X10" s="5">
        <f>ROUND(J10/(I10*4),3)</f>
        <v>0.405</v>
      </c>
      <c r="Y10" s="5">
        <f>ROUND(J10/(H10*4),3)</f>
        <v>0.405</v>
      </c>
      <c r="Z10" t="str">
        <f>IF(J10&gt;P10,"Yes","No")</f>
        <v>Yes</v>
      </c>
      <c r="AA10" s="6">
        <f>RANK(V10,V$2:V$201,0)</f>
        <v>2</v>
      </c>
      <c r="AB10" s="6">
        <f>RANK(W10,W$2:W$201,0)</f>
        <v>2</v>
      </c>
      <c r="AC10" s="3">
        <f>ROUND(L10/J10*100,1)</f>
        <v>14.1</v>
      </c>
      <c r="AD10" s="5">
        <f>ROUND(M10/G10*10000,2)</f>
        <v>4.69</v>
      </c>
      <c r="AE10" t="inlineStr">
        <is>
          <t>College Scorecard (US Dept. of Education); Nobel Prize API; NCAA; state columns: US Census, Bureau of Economic Analysis</t>
        </is>
      </c>
    </row>
    <row r="11">
      <c r="A11" t="inlineStr">
        <is>
          <t>Duke University</t>
        </is>
      </c>
      <c r="B11" t="inlineStr">
        <is>
          <t>NC</t>
        </is>
      </c>
      <c r="C11" t="inlineStr">
        <is>
          <t>North Carolina</t>
        </is>
      </c>
      <c r="D11" t="inlineStr">
        <is>
          <t>Durham</t>
        </is>
      </c>
      <c r="E11" s="3" t="n">
        <v>5.7</v>
      </c>
      <c r="F11" t="n">
        <v>1548</v>
      </c>
      <c r="G11" t="n">
        <v>6442</v>
      </c>
      <c r="H11" s="4" t="n">
        <v>68758</v>
      </c>
      <c r="I11" s="4" t="n">
        <v>68758</v>
      </c>
      <c r="J11" s="4" t="n">
        <v>97800</v>
      </c>
      <c r="K11" s="3" t="n">
        <v>96.3</v>
      </c>
      <c r="L11" s="4" t="n">
        <v>13000</v>
      </c>
      <c r="M11" t="n">
        <v>0</v>
      </c>
      <c r="N11" t="inlineStr">
        <is>
          <t>Yes</t>
        </is>
      </c>
      <c r="O11" s="4" t="n">
        <v>36723</v>
      </c>
      <c r="P11" s="4" t="n">
        <v>62338</v>
      </c>
      <c r="Q11" s="4" t="n">
        <v>25615</v>
      </c>
      <c r="R11" s="5" t="n">
        <v>1.7</v>
      </c>
      <c r="S11" s="3" t="n">
        <v>70</v>
      </c>
      <c r="T11" s="3" t="n">
        <v>94.3</v>
      </c>
      <c r="U11" s="4">
        <f>J11-P11</f>
        <v>35462</v>
      </c>
      <c r="V11" s="5">
        <f>ROUND(J11/P11,3)</f>
        <v>1.569</v>
      </c>
      <c r="W11" s="4">
        <f>ROUND(J11/(T11/100),0)</f>
        <v>103712</v>
      </c>
      <c r="X11" s="5">
        <f>ROUND(J11/(I11*4),3)</f>
        <v>0.356</v>
      </c>
      <c r="Y11" s="5">
        <f>ROUND(J11/(H11*4),3)</f>
        <v>0.356</v>
      </c>
      <c r="Z11" t="str">
        <f>IF(J11&gt;P11,"Yes","No")</f>
        <v>Yes</v>
      </c>
      <c r="AA11" s="6">
        <f>RANK(V11,V$2:V$201,0)</f>
        <v>8</v>
      </c>
      <c r="AB11" s="6">
        <f>RANK(W11,W$2:W$201,0)</f>
        <v>7</v>
      </c>
      <c r="AC11" s="3">
        <f>ROUND(L11/J11*100,1)</f>
        <v>13.3</v>
      </c>
      <c r="AD11" s="5">
        <f>ROUND(M11/G11*10000,2)</f>
        <v>0</v>
      </c>
      <c r="AE11" t="inlineStr">
        <is>
          <t>College Scorecard (US Dept. of Education); Nobel Prize API; NCAA; state columns: US Census, Bureau of Economic Analysis</t>
        </is>
      </c>
    </row>
    <row r="12">
      <c r="A12" t="inlineStr">
        <is>
          <t>Vanderbilt University</t>
        </is>
      </c>
      <c r="B12" t="inlineStr">
        <is>
          <t>TN</t>
        </is>
      </c>
      <c r="C12" t="inlineStr">
        <is>
          <t>Tennessee</t>
        </is>
      </c>
      <c r="D12" t="inlineStr">
        <is>
          <t>Nashville</t>
        </is>
      </c>
      <c r="E12" s="3" t="n">
        <v>5.9</v>
      </c>
      <c r="F12" t="n">
        <v>1549</v>
      </c>
      <c r="G12" t="n">
        <v>7208</v>
      </c>
      <c r="H12" s="4" t="n">
        <v>67498</v>
      </c>
      <c r="I12" s="4" t="n">
        <v>67498</v>
      </c>
      <c r="J12" s="4" t="n">
        <v>91565</v>
      </c>
      <c r="K12" s="3" t="n">
        <v>93.09999999999999</v>
      </c>
      <c r="L12" s="4" t="n">
        <v>14000</v>
      </c>
      <c r="M12" t="n">
        <v>1</v>
      </c>
      <c r="N12" t="inlineStr">
        <is>
          <t>Yes</t>
        </is>
      </c>
      <c r="O12" s="4" t="n">
        <v>37693</v>
      </c>
      <c r="P12" s="4" t="n">
        <v>61189</v>
      </c>
      <c r="Q12" s="4" t="n">
        <v>23496</v>
      </c>
      <c r="R12" s="5" t="n">
        <v>1.62</v>
      </c>
      <c r="S12" s="3" t="n">
        <v>62</v>
      </c>
      <c r="T12" s="3" t="n">
        <v>91.90000000000001</v>
      </c>
      <c r="U12" s="4">
        <f>J12-P12</f>
        <v>30376</v>
      </c>
      <c r="V12" s="5">
        <f>ROUND(J12/P12,3)</f>
        <v>1.496</v>
      </c>
      <c r="W12" s="4">
        <f>ROUND(J12/(T12/100),0)</f>
        <v>99635</v>
      </c>
      <c r="X12" s="5">
        <f>ROUND(J12/(I12*4),3)</f>
        <v>0.339</v>
      </c>
      <c r="Y12" s="5">
        <f>ROUND(J12/(H12*4),3)</f>
        <v>0.339</v>
      </c>
      <c r="Z12" t="str">
        <f>IF(J12&gt;P12,"Yes","No")</f>
        <v>Yes</v>
      </c>
      <c r="AA12" s="6">
        <f>RANK(V12,V$2:V$201,0)</f>
        <v>10</v>
      </c>
      <c r="AB12" s="6">
        <f>RANK(W12,W$2:W$201,0)</f>
        <v>10</v>
      </c>
      <c r="AC12" s="3">
        <f>ROUND(L12/J12*100,1)</f>
        <v>15.3</v>
      </c>
      <c r="AD12" s="5">
        <f>ROUND(M12/G12*10000,2)</f>
        <v>1.39</v>
      </c>
      <c r="AE12" t="inlineStr">
        <is>
          <t>College Scorecard (US Dept. of Education); Nobel Prize API; NCAA; state columns: US Census, Bureau of Economic Analysis</t>
        </is>
      </c>
    </row>
    <row r="13">
      <c r="A13" t="inlineStr">
        <is>
          <t>Johns Hopkins University</t>
        </is>
      </c>
      <c r="B13" t="inlineStr">
        <is>
          <t>MD</t>
        </is>
      </c>
      <c r="C13" t="inlineStr">
        <is>
          <t>Maryland</t>
        </is>
      </c>
      <c r="D13" t="inlineStr">
        <is>
          <t>Baltimore</t>
        </is>
      </c>
      <c r="E13" s="3" t="n">
        <v>6.4</v>
      </c>
      <c r="F13" t="n">
        <v>1553</v>
      </c>
      <c r="G13" t="n">
        <v>5693</v>
      </c>
      <c r="H13" s="4" t="n">
        <v>65230</v>
      </c>
      <c r="I13" s="4" t="n">
        <v>65230</v>
      </c>
      <c r="J13" s="4" t="n">
        <v>87555</v>
      </c>
      <c r="K13" s="3" t="n">
        <v>94.2</v>
      </c>
      <c r="L13" s="4" t="n">
        <v>10250</v>
      </c>
      <c r="M13" t="n">
        <v>2</v>
      </c>
      <c r="N13" t="inlineStr">
        <is>
          <t>No</t>
        </is>
      </c>
      <c r="O13" s="4" t="n">
        <v>42778</v>
      </c>
      <c r="P13" s="4" t="n">
        <v>76748</v>
      </c>
      <c r="Q13" s="4" t="n">
        <v>33970</v>
      </c>
      <c r="R13" s="5" t="n">
        <v>1.79</v>
      </c>
      <c r="S13" s="3" t="n">
        <v>79</v>
      </c>
      <c r="T13" s="3" t="n">
        <v>105</v>
      </c>
      <c r="U13" s="4">
        <f>J13-P13</f>
        <v>10807</v>
      </c>
      <c r="V13" s="5">
        <f>ROUND(J13/P13,3)</f>
        <v>1.141</v>
      </c>
      <c r="W13" s="4">
        <f>ROUND(J13/(T13/100),0)</f>
        <v>83386</v>
      </c>
      <c r="X13" s="5">
        <f>ROUND(J13/(I13*4),3)</f>
        <v>0.336</v>
      </c>
      <c r="Y13" s="5">
        <f>ROUND(J13/(H13*4),3)</f>
        <v>0.336</v>
      </c>
      <c r="Z13" t="str">
        <f>IF(J13&gt;P13,"Yes","No")</f>
        <v>Yes</v>
      </c>
      <c r="AA13" s="6">
        <f>RANK(V13,V$2:V$201,0)</f>
        <v>52</v>
      </c>
      <c r="AB13" s="6">
        <f>RANK(W13,W$2:W$201,0)</f>
        <v>33</v>
      </c>
      <c r="AC13" s="3">
        <f>ROUND(L13/J13*100,1)</f>
        <v>11.7</v>
      </c>
      <c r="AD13" s="5">
        <f>ROUND(M13/G13*10000,2)</f>
        <v>3.51</v>
      </c>
      <c r="AE13" t="inlineStr">
        <is>
          <t>College Scorecard (US Dept. of Education); Nobel Prize API; NCAA; state columns: US Census, Bureau of Economic Analysis</t>
        </is>
      </c>
    </row>
    <row r="14">
      <c r="A14" t="inlineStr">
        <is>
          <t>Northwestern University</t>
        </is>
      </c>
      <c r="B14" t="inlineStr">
        <is>
          <t>IL</t>
        </is>
      </c>
      <c r="C14" t="inlineStr">
        <is>
          <t>Illinois</t>
        </is>
      </c>
      <c r="D14" t="inlineStr">
        <is>
          <t>Evanston</t>
        </is>
      </c>
      <c r="E14" s="3" t="n">
        <v>7.7</v>
      </c>
      <c r="F14" t="n">
        <v>1533</v>
      </c>
      <c r="G14" t="n">
        <v>9201</v>
      </c>
      <c r="H14" s="4" t="n">
        <v>68322</v>
      </c>
      <c r="I14" s="4" t="n">
        <v>68322</v>
      </c>
      <c r="J14" s="4" t="n">
        <v>89363</v>
      </c>
      <c r="K14" s="3" t="n">
        <v>95.5</v>
      </c>
      <c r="L14" s="4" t="n">
        <v>15000</v>
      </c>
      <c r="M14" t="n">
        <v>4</v>
      </c>
      <c r="N14" t="inlineStr">
        <is>
          <t>No</t>
        </is>
      </c>
      <c r="O14" s="4" t="n">
        <v>40285</v>
      </c>
      <c r="P14" s="4" t="n">
        <v>71127</v>
      </c>
      <c r="Q14" s="4" t="n">
        <v>30842</v>
      </c>
      <c r="R14" s="5" t="n">
        <v>1.77</v>
      </c>
      <c r="S14" s="3" t="n">
        <v>77</v>
      </c>
      <c r="T14" s="3" t="n">
        <v>100</v>
      </c>
      <c r="U14" s="4">
        <f>J14-P14</f>
        <v>18236</v>
      </c>
      <c r="V14" s="5">
        <f>ROUND(J14/P14,3)</f>
        <v>1.256</v>
      </c>
      <c r="W14" s="4">
        <f>ROUND(J14/(T14/100),0)</f>
        <v>89363</v>
      </c>
      <c r="X14" s="5">
        <f>ROUND(J14/(I14*4),3)</f>
        <v>0.327</v>
      </c>
      <c r="Y14" s="5">
        <f>ROUND(J14/(H14*4),3)</f>
        <v>0.327</v>
      </c>
      <c r="Z14" t="str">
        <f>IF(J14&gt;P14,"Yes","No")</f>
        <v>Yes</v>
      </c>
      <c r="AA14" s="6">
        <f>RANK(V14,V$2:V$201,0)</f>
        <v>30</v>
      </c>
      <c r="AB14" s="6">
        <f>RANK(W14,W$2:W$201,0)</f>
        <v>26</v>
      </c>
      <c r="AC14" s="3">
        <f>ROUND(L14/J14*100,1)</f>
        <v>16.8</v>
      </c>
      <c r="AD14" s="5">
        <f>ROUND(M14/G14*10000,2)</f>
        <v>4.35</v>
      </c>
      <c r="AE14" t="inlineStr">
        <is>
          <t>College Scorecard (US Dept. of Education); Nobel Prize API; NCAA; state columns: US Census, Bureau of Economic Analysis</t>
        </is>
      </c>
    </row>
    <row r="15">
      <c r="A15" t="inlineStr">
        <is>
          <t>Cornell University</t>
        </is>
      </c>
      <c r="B15" t="inlineStr">
        <is>
          <t>NY</t>
        </is>
      </c>
      <c r="C15" t="inlineStr">
        <is>
          <t>New York</t>
        </is>
      </c>
      <c r="D15" t="inlineStr">
        <is>
          <t>Ithaca</t>
        </is>
      </c>
      <c r="E15" s="3" t="n">
        <v>8.800000000000001</v>
      </c>
      <c r="F15" t="n">
        <v>1535</v>
      </c>
      <c r="G15" t="n">
        <v>15995</v>
      </c>
      <c r="H15" s="4" t="n">
        <v>69314</v>
      </c>
      <c r="I15" s="4" t="n">
        <v>69314</v>
      </c>
      <c r="J15" s="4" t="n">
        <v>104043</v>
      </c>
      <c r="K15" s="3" t="n">
        <v>95.3</v>
      </c>
      <c r="L15" s="4" t="n">
        <v>14000</v>
      </c>
      <c r="M15" t="n">
        <v>8</v>
      </c>
      <c r="N15" t="inlineStr">
        <is>
          <t>No</t>
        </is>
      </c>
      <c r="O15" s="4" t="n">
        <v>39771</v>
      </c>
      <c r="P15" s="4" t="n">
        <v>74504</v>
      </c>
      <c r="Q15" s="4" t="n">
        <v>34733</v>
      </c>
      <c r="R15" s="5" t="n">
        <v>1.87</v>
      </c>
      <c r="S15" s="3" t="n">
        <v>87</v>
      </c>
      <c r="T15" s="3" t="n">
        <v>107.9</v>
      </c>
      <c r="U15" s="4">
        <f>J15-P15</f>
        <v>29539</v>
      </c>
      <c r="V15" s="5">
        <f>ROUND(J15/P15,3)</f>
        <v>1.396</v>
      </c>
      <c r="W15" s="4">
        <f>ROUND(J15/(T15/100),0)</f>
        <v>96425</v>
      </c>
      <c r="X15" s="5">
        <f>ROUND(J15/(I15*4),3)</f>
        <v>0.375</v>
      </c>
      <c r="Y15" s="5">
        <f>ROUND(J15/(H15*4),3)</f>
        <v>0.375</v>
      </c>
      <c r="Z15" t="str">
        <f>IF(J15&gt;P15,"Yes","No")</f>
        <v>Yes</v>
      </c>
      <c r="AA15" s="6">
        <f>RANK(V15,V$2:V$201,0)</f>
        <v>14</v>
      </c>
      <c r="AB15" s="6">
        <f>RANK(W15,W$2:W$201,0)</f>
        <v>15</v>
      </c>
      <c r="AC15" s="3">
        <f>ROUND(L15/J15*100,1)</f>
        <v>13.5</v>
      </c>
      <c r="AD15" s="5">
        <f>ROUND(M15/G15*10000,2)</f>
        <v>5</v>
      </c>
      <c r="AE15" t="inlineStr">
        <is>
          <t>College Scorecard (US Dept. of Education); Nobel Prize API; NCAA; state columns: US Census, Bureau of Economic Analysis</t>
        </is>
      </c>
    </row>
    <row r="16">
      <c r="A16" t="inlineStr">
        <is>
          <t>University of California-Los Angeles</t>
        </is>
      </c>
      <c r="B16" t="inlineStr">
        <is>
          <t>CA</t>
        </is>
      </c>
      <c r="C16" t="inlineStr">
        <is>
          <t>California</t>
        </is>
      </c>
      <c r="D16" t="inlineStr">
        <is>
          <t>Los Angeles</t>
        </is>
      </c>
      <c r="E16" s="3" t="n">
        <v>9</v>
      </c>
      <c r="G16" t="n">
        <v>33475</v>
      </c>
      <c r="H16" s="4" t="n">
        <v>15203</v>
      </c>
      <c r="I16" s="4" t="n">
        <v>49403</v>
      </c>
      <c r="J16" s="4" t="n">
        <v>82511</v>
      </c>
      <c r="K16" s="3" t="n">
        <v>92.59999999999999</v>
      </c>
      <c r="L16" s="4" t="n">
        <v>14000</v>
      </c>
      <c r="M16" t="n">
        <v>43</v>
      </c>
      <c r="N16" t="inlineStr">
        <is>
          <t>Yes</t>
        </is>
      </c>
      <c r="O16" s="4" t="n">
        <v>40803</v>
      </c>
      <c r="P16" s="4" t="n">
        <v>78278</v>
      </c>
      <c r="Q16" s="4" t="n">
        <v>37475</v>
      </c>
      <c r="R16" s="5" t="n">
        <v>1.92</v>
      </c>
      <c r="S16" s="3" t="n">
        <v>92</v>
      </c>
      <c r="T16" s="3" t="n">
        <v>110.7</v>
      </c>
      <c r="U16" s="4">
        <f>J16-P16</f>
        <v>4233</v>
      </c>
      <c r="V16" s="5">
        <f>ROUND(J16/P16,3)</f>
        <v>1.054</v>
      </c>
      <c r="W16" s="4">
        <f>ROUND(J16/(T16/100),0)</f>
        <v>74536</v>
      </c>
      <c r="X16" s="5">
        <f>ROUND(J16/(I16*4),3)</f>
        <v>0.418</v>
      </c>
      <c r="Y16" s="5">
        <f>ROUND(J16/(H16*4),3)</f>
        <v>1.357</v>
      </c>
      <c r="Z16" t="str">
        <f>IF(J16&gt;P16,"Yes","No")</f>
        <v>Yes</v>
      </c>
      <c r="AA16" s="6">
        <f>RANK(V16,V$2:V$201,0)</f>
        <v>75</v>
      </c>
      <c r="AB16" s="6">
        <f>RANK(W16,W$2:W$201,0)</f>
        <v>63</v>
      </c>
      <c r="AC16" s="3">
        <f>ROUND(L16/J16*100,1)</f>
        <v>17</v>
      </c>
      <c r="AD16" s="5">
        <f>ROUND(M16/G16*10000,2)</f>
        <v>12.85</v>
      </c>
      <c r="AE16" t="inlineStr">
        <is>
          <t>College Scorecard (US Dept. of Education); Nobel Prize API; NCAA; state columns: US Census, Bureau of Economic Analysis</t>
        </is>
      </c>
    </row>
    <row r="17">
      <c r="A17" t="inlineStr">
        <is>
          <t>New York University</t>
        </is>
      </c>
      <c r="B17" t="inlineStr">
        <is>
          <t>NY</t>
        </is>
      </c>
      <c r="C17" t="inlineStr">
        <is>
          <t>New York</t>
        </is>
      </c>
      <c r="D17" t="inlineStr">
        <is>
          <t>New York</t>
        </is>
      </c>
      <c r="E17" s="3" t="n">
        <v>9.199999999999999</v>
      </c>
      <c r="F17" t="n">
        <v>1520</v>
      </c>
      <c r="G17" t="n">
        <v>28663</v>
      </c>
      <c r="H17" s="4" t="n">
        <v>62796</v>
      </c>
      <c r="I17" s="4" t="n">
        <v>62796</v>
      </c>
      <c r="J17" s="4" t="n">
        <v>82509</v>
      </c>
      <c r="K17" s="3" t="n">
        <v>88</v>
      </c>
      <c r="L17" s="4" t="n">
        <v>20500</v>
      </c>
      <c r="M17" t="n">
        <v>2</v>
      </c>
      <c r="N17" t="inlineStr">
        <is>
          <t>No</t>
        </is>
      </c>
      <c r="O17" s="4" t="n">
        <v>39771</v>
      </c>
      <c r="P17" s="4" t="n">
        <v>74504</v>
      </c>
      <c r="Q17" s="4" t="n">
        <v>34733</v>
      </c>
      <c r="R17" s="5" t="n">
        <v>1.87</v>
      </c>
      <c r="S17" s="3" t="n">
        <v>87</v>
      </c>
      <c r="T17" s="3" t="n">
        <v>107.9</v>
      </c>
      <c r="U17" s="4">
        <f>J17-P17</f>
        <v>8005</v>
      </c>
      <c r="V17" s="5">
        <f>ROUND(J17/P17,3)</f>
        <v>1.107</v>
      </c>
      <c r="W17" s="4">
        <f>ROUND(J17/(T17/100),0)</f>
        <v>76468</v>
      </c>
      <c r="X17" s="5">
        <f>ROUND(J17/(I17*4),3)</f>
        <v>0.328</v>
      </c>
      <c r="Y17" s="5">
        <f>ROUND(J17/(H17*4),3)</f>
        <v>0.328</v>
      </c>
      <c r="Z17" t="str">
        <f>IF(J17&gt;P17,"Yes","No")</f>
        <v>Yes</v>
      </c>
      <c r="AA17" s="6">
        <f>RANK(V17,V$2:V$201,0)</f>
        <v>58</v>
      </c>
      <c r="AB17" s="6">
        <f>RANK(W17,W$2:W$201,0)</f>
        <v>60</v>
      </c>
      <c r="AC17" s="3">
        <f>ROUND(L17/J17*100,1)</f>
        <v>24.8</v>
      </c>
      <c r="AD17" s="5">
        <f>ROUND(M17/G17*10000,2)</f>
        <v>0.7</v>
      </c>
      <c r="AE17" t="inlineStr">
        <is>
          <t>College Scorecard (US Dept. of Education); Nobel Prize API; NCAA; state columns: US Census, Bureau of Economic Analysis</t>
        </is>
      </c>
    </row>
    <row r="18">
      <c r="A18" t="inlineStr">
        <is>
          <t>University of Southern California</t>
        </is>
      </c>
      <c r="B18" t="inlineStr">
        <is>
          <t>CA</t>
        </is>
      </c>
      <c r="C18" t="inlineStr">
        <is>
          <t>California</t>
        </is>
      </c>
      <c r="D18" t="inlineStr">
        <is>
          <t>Los Angeles</t>
        </is>
      </c>
      <c r="E18" s="3" t="n">
        <v>9.800000000000001</v>
      </c>
      <c r="F18" t="n">
        <v>1495</v>
      </c>
      <c r="G18" t="n">
        <v>20443</v>
      </c>
      <c r="H18" s="4" t="n">
        <v>72097</v>
      </c>
      <c r="I18" s="4" t="n">
        <v>72097</v>
      </c>
      <c r="J18" s="4" t="n">
        <v>92498</v>
      </c>
      <c r="K18" s="3" t="n">
        <v>91.90000000000001</v>
      </c>
      <c r="L18" s="4" t="n">
        <v>18000</v>
      </c>
      <c r="M18" t="n">
        <v>2</v>
      </c>
      <c r="N18" t="inlineStr">
        <is>
          <t>No</t>
        </is>
      </c>
      <c r="O18" s="4" t="n">
        <v>40803</v>
      </c>
      <c r="P18" s="4" t="n">
        <v>78278</v>
      </c>
      <c r="Q18" s="4" t="n">
        <v>37475</v>
      </c>
      <c r="R18" s="5" t="n">
        <v>1.92</v>
      </c>
      <c r="S18" s="3" t="n">
        <v>92</v>
      </c>
      <c r="T18" s="3" t="n">
        <v>110.7</v>
      </c>
      <c r="U18" s="4">
        <f>J18-P18</f>
        <v>14220</v>
      </c>
      <c r="V18" s="5">
        <f>ROUND(J18/P18,3)</f>
        <v>1.182</v>
      </c>
      <c r="W18" s="4">
        <f>ROUND(J18/(T18/100),0)</f>
        <v>83557</v>
      </c>
      <c r="X18" s="5">
        <f>ROUND(J18/(I18*4),3)</f>
        <v>0.321</v>
      </c>
      <c r="Y18" s="5">
        <f>ROUND(J18/(H18*4),3)</f>
        <v>0.321</v>
      </c>
      <c r="Z18" t="str">
        <f>IF(J18&gt;P18,"Yes","No")</f>
        <v>Yes</v>
      </c>
      <c r="AA18" s="6">
        <f>RANK(V18,V$2:V$201,0)</f>
        <v>37</v>
      </c>
      <c r="AB18" s="6">
        <f>RANK(W18,W$2:W$201,0)</f>
        <v>31</v>
      </c>
      <c r="AC18" s="3">
        <f>ROUND(L18/J18*100,1)</f>
        <v>19.5</v>
      </c>
      <c r="AD18" s="5">
        <f>ROUND(M18/G18*10000,2)</f>
        <v>0.98</v>
      </c>
      <c r="AE18" t="inlineStr">
        <is>
          <t>College Scorecard (US Dept. of Education); Nobel Prize API; NCAA; state columns: US Census, Bureau of Economic Analysis</t>
        </is>
      </c>
    </row>
    <row r="19">
      <c r="A19" t="inlineStr">
        <is>
          <t>Emory University</t>
        </is>
      </c>
      <c r="B19" t="inlineStr">
        <is>
          <t>GA</t>
        </is>
      </c>
      <c r="C19" t="inlineStr">
        <is>
          <t>Georgia</t>
        </is>
      </c>
      <c r="D19" t="inlineStr">
        <is>
          <t>Atlanta</t>
        </is>
      </c>
      <c r="E19" s="3" t="n">
        <v>10.7</v>
      </c>
      <c r="F19" t="n">
        <v>1520</v>
      </c>
      <c r="G19" t="n">
        <v>7298</v>
      </c>
      <c r="H19" s="4" t="n">
        <v>64280</v>
      </c>
      <c r="I19" s="4" t="n">
        <v>64280</v>
      </c>
      <c r="J19" s="4" t="n">
        <v>80137</v>
      </c>
      <c r="K19" s="3" t="n">
        <v>91.40000000000001</v>
      </c>
      <c r="L19" s="4" t="n">
        <v>18250</v>
      </c>
      <c r="M19" t="n">
        <v>0</v>
      </c>
      <c r="N19" t="inlineStr">
        <is>
          <t>No</t>
        </is>
      </c>
      <c r="O19" s="4" t="n">
        <v>36820</v>
      </c>
      <c r="P19" s="4" t="n">
        <v>64185</v>
      </c>
      <c r="Q19" s="4" t="n">
        <v>27365</v>
      </c>
      <c r="R19" s="5" t="n">
        <v>1.74</v>
      </c>
      <c r="S19" s="3" t="n">
        <v>74</v>
      </c>
      <c r="T19" s="3" t="n">
        <v>96.3</v>
      </c>
      <c r="U19" s="4">
        <f>J19-P19</f>
        <v>15952</v>
      </c>
      <c r="V19" s="5">
        <f>ROUND(J19/P19,3)</f>
        <v>1.249</v>
      </c>
      <c r="W19" s="4">
        <f>ROUND(J19/(T19/100),0)</f>
        <v>83216</v>
      </c>
      <c r="X19" s="5">
        <f>ROUND(J19/(I19*4),3)</f>
        <v>0.312</v>
      </c>
      <c r="Y19" s="5">
        <f>ROUND(J19/(H19*4),3)</f>
        <v>0.312</v>
      </c>
      <c r="Z19" t="str">
        <f>IF(J19&gt;P19,"Yes","No")</f>
        <v>Yes</v>
      </c>
      <c r="AA19" s="6">
        <f>RANK(V19,V$2:V$201,0)</f>
        <v>32</v>
      </c>
      <c r="AB19" s="6">
        <f>RANK(W19,W$2:W$201,0)</f>
        <v>34</v>
      </c>
      <c r="AC19" s="3">
        <f>ROUND(L19/J19*100,1)</f>
        <v>22.8</v>
      </c>
      <c r="AD19" s="5">
        <f>ROUND(M19/G19*10000,2)</f>
        <v>0</v>
      </c>
      <c r="AE19" t="inlineStr">
        <is>
          <t>College Scorecard (US Dept. of Education); Nobel Prize API; NCAA; state columns: US Census, Bureau of Economic Analysis</t>
        </is>
      </c>
    </row>
    <row r="20">
      <c r="A20" t="inlineStr">
        <is>
          <t>University of California-Berkeley</t>
        </is>
      </c>
      <c r="B20" t="inlineStr">
        <is>
          <t>CA</t>
        </is>
      </c>
      <c r="C20" t="inlineStr">
        <is>
          <t>California</t>
        </is>
      </c>
      <c r="D20" t="inlineStr">
        <is>
          <t>Berkeley</t>
        </is>
      </c>
      <c r="E20" s="3" t="n">
        <v>11</v>
      </c>
      <c r="G20" t="n">
        <v>33068</v>
      </c>
      <c r="H20" s="4" t="n">
        <v>16347</v>
      </c>
      <c r="I20" s="4" t="n">
        <v>50547</v>
      </c>
      <c r="J20" s="4" t="n">
        <v>92446</v>
      </c>
      <c r="K20" s="3" t="n">
        <v>92.90000000000001</v>
      </c>
      <c r="L20" s="4" t="n">
        <v>13000</v>
      </c>
      <c r="M20" t="n">
        <v>43</v>
      </c>
      <c r="N20" t="inlineStr">
        <is>
          <t>Yes</t>
        </is>
      </c>
      <c r="O20" s="4" t="n">
        <v>40803</v>
      </c>
      <c r="P20" s="4" t="n">
        <v>78278</v>
      </c>
      <c r="Q20" s="4" t="n">
        <v>37475</v>
      </c>
      <c r="R20" s="5" t="n">
        <v>1.92</v>
      </c>
      <c r="S20" s="3" t="n">
        <v>92</v>
      </c>
      <c r="T20" s="3" t="n">
        <v>110.7</v>
      </c>
      <c r="U20" s="4">
        <f>J20-P20</f>
        <v>14168</v>
      </c>
      <c r="V20" s="5">
        <f>ROUND(J20/P20,3)</f>
        <v>1.181</v>
      </c>
      <c r="W20" s="4">
        <f>ROUND(J20/(T20/100),0)</f>
        <v>83510</v>
      </c>
      <c r="X20" s="5">
        <f>ROUND(J20/(I20*4),3)</f>
        <v>0.457</v>
      </c>
      <c r="Y20" s="5">
        <f>ROUND(J20/(H20*4),3)</f>
        <v>1.414</v>
      </c>
      <c r="Z20" t="str">
        <f>IF(J20&gt;P20,"Yes","No")</f>
        <v>Yes</v>
      </c>
      <c r="AA20" s="6">
        <f>RANK(V20,V$2:V$201,0)</f>
        <v>38</v>
      </c>
      <c r="AB20" s="6">
        <f>RANK(W20,W$2:W$201,0)</f>
        <v>32</v>
      </c>
      <c r="AC20" s="3">
        <f>ROUND(L20/J20*100,1)</f>
        <v>14.1</v>
      </c>
      <c r="AD20" s="5">
        <f>ROUND(M20/G20*10000,2)</f>
        <v>13</v>
      </c>
      <c r="AE20" t="inlineStr">
        <is>
          <t>College Scorecard (US Dept. of Education); Nobel Prize API; NCAA; state columns: US Census, Bureau of Economic Analysis</t>
        </is>
      </c>
    </row>
    <row r="21">
      <c r="A21" t="inlineStr">
        <is>
          <t>Boston University</t>
        </is>
      </c>
      <c r="B21" t="inlineStr">
        <is>
          <t>MA</t>
        </is>
      </c>
      <c r="C21" t="inlineStr">
        <is>
          <t>Massachusetts</t>
        </is>
      </c>
      <c r="D21" t="inlineStr">
        <is>
          <t>Boston</t>
        </is>
      </c>
      <c r="E21" s="3" t="n">
        <v>11.1</v>
      </c>
      <c r="F21" t="n">
        <v>1480</v>
      </c>
      <c r="G21" t="n">
        <v>18248</v>
      </c>
      <c r="H21" s="4" t="n">
        <v>68102</v>
      </c>
      <c r="I21" s="4" t="n">
        <v>68102</v>
      </c>
      <c r="J21" s="4" t="n">
        <v>83238</v>
      </c>
      <c r="K21" s="3" t="n">
        <v>89.3</v>
      </c>
      <c r="L21" s="4" t="n">
        <v>23250</v>
      </c>
      <c r="M21" t="n">
        <v>0</v>
      </c>
      <c r="N21" t="inlineStr">
        <is>
          <t>No</t>
        </is>
      </c>
      <c r="O21" s="4" t="n">
        <v>43761</v>
      </c>
      <c r="P21" s="4" t="n">
        <v>79985</v>
      </c>
      <c r="Q21" s="4" t="n">
        <v>36224</v>
      </c>
      <c r="R21" s="5" t="n">
        <v>1.83</v>
      </c>
      <c r="S21" s="3" t="n">
        <v>83</v>
      </c>
      <c r="T21" s="3" t="n">
        <v>105.8</v>
      </c>
      <c r="U21" s="4">
        <f>J21-P21</f>
        <v>3253</v>
      </c>
      <c r="V21" s="5">
        <f>ROUND(J21/P21,3)</f>
        <v>1.041</v>
      </c>
      <c r="W21" s="4">
        <f>ROUND(J21/(T21/100),0)</f>
        <v>78675</v>
      </c>
      <c r="X21" s="5">
        <f>ROUND(J21/(I21*4),3)</f>
        <v>0.306</v>
      </c>
      <c r="Y21" s="5">
        <f>ROUND(J21/(H21*4),3)</f>
        <v>0.306</v>
      </c>
      <c r="Z21" t="str">
        <f>IF(J21&gt;P21,"Yes","No")</f>
        <v>Yes</v>
      </c>
      <c r="AA21" s="6">
        <f>RANK(V21,V$2:V$201,0)</f>
        <v>78</v>
      </c>
      <c r="AB21" s="6">
        <f>RANK(W21,W$2:W$201,0)</f>
        <v>49</v>
      </c>
      <c r="AC21" s="3">
        <f>ROUND(L21/J21*100,1)</f>
        <v>27.9</v>
      </c>
      <c r="AD21" s="5">
        <f>ROUND(M21/G21*10000,2)</f>
        <v>0</v>
      </c>
      <c r="AE21" t="inlineStr">
        <is>
          <t>College Scorecard (US Dept. of Education); Nobel Prize API; NCAA; state columns: US Census, Bureau of Economic Analysis</t>
        </is>
      </c>
    </row>
    <row r="22">
      <c r="A22" t="inlineStr">
        <is>
          <t>University of Notre Dame</t>
        </is>
      </c>
      <c r="B22" t="inlineStr">
        <is>
          <t>IN</t>
        </is>
      </c>
      <c r="C22" t="inlineStr">
        <is>
          <t>Indiana</t>
        </is>
      </c>
      <c r="D22" t="inlineStr">
        <is>
          <t>Notre Dame</t>
        </is>
      </c>
      <c r="E22" s="3" t="n">
        <v>11.3</v>
      </c>
      <c r="F22" t="n">
        <v>1520</v>
      </c>
      <c r="G22" t="n">
        <v>8818</v>
      </c>
      <c r="H22" s="4" t="n">
        <v>65025</v>
      </c>
      <c r="I22" s="4" t="n">
        <v>65025</v>
      </c>
      <c r="J22" s="4" t="n">
        <v>99980</v>
      </c>
      <c r="K22" s="3" t="n">
        <v>96</v>
      </c>
      <c r="L22" s="4" t="n">
        <v>19000</v>
      </c>
      <c r="M22" t="n">
        <v>0</v>
      </c>
      <c r="N22" t="inlineStr">
        <is>
          <t>No</t>
        </is>
      </c>
      <c r="O22" s="4" t="n">
        <v>39496</v>
      </c>
      <c r="P22" s="4" t="n">
        <v>60573</v>
      </c>
      <c r="Q22" s="4" t="n">
        <v>21077</v>
      </c>
      <c r="R22" s="5" t="n">
        <v>1.53</v>
      </c>
      <c r="S22" s="3" t="n">
        <v>53</v>
      </c>
      <c r="T22" s="3" t="n">
        <v>93.3</v>
      </c>
      <c r="U22" s="4">
        <f>J22-P22</f>
        <v>39407</v>
      </c>
      <c r="V22" s="5">
        <f>ROUND(J22/P22,3)</f>
        <v>1.651</v>
      </c>
      <c r="W22" s="4">
        <f>ROUND(J22/(T22/100),0)</f>
        <v>107160</v>
      </c>
      <c r="X22" s="5">
        <f>ROUND(J22/(I22*4),3)</f>
        <v>0.384</v>
      </c>
      <c r="Y22" s="5">
        <f>ROUND(J22/(H22*4),3)</f>
        <v>0.384</v>
      </c>
      <c r="Z22" t="str">
        <f>IF(J22&gt;P22,"Yes","No")</f>
        <v>Yes</v>
      </c>
      <c r="AA22" s="6">
        <f>RANK(V22,V$2:V$201,0)</f>
        <v>3</v>
      </c>
      <c r="AB22" s="6">
        <f>RANK(W22,W$2:W$201,0)</f>
        <v>5</v>
      </c>
      <c r="AC22" s="3">
        <f>ROUND(L22/J22*100,1)</f>
        <v>19</v>
      </c>
      <c r="AD22" s="5">
        <f>ROUND(M22/G22*10000,2)</f>
        <v>0</v>
      </c>
      <c r="AE22" t="inlineStr">
        <is>
          <t>College Scorecard (US Dept. of Education); Nobel Prize API; NCAA; state columns: US Census, Bureau of Economic Analysis</t>
        </is>
      </c>
    </row>
    <row r="23">
      <c r="A23" t="inlineStr">
        <is>
          <t>Tufts University</t>
        </is>
      </c>
      <c r="B23" t="inlineStr">
        <is>
          <t>MA</t>
        </is>
      </c>
      <c r="C23" t="inlineStr">
        <is>
          <t>Massachusetts</t>
        </is>
      </c>
      <c r="D23" t="inlineStr">
        <is>
          <t>Medford</t>
        </is>
      </c>
      <c r="E23" s="3" t="n">
        <v>11.5</v>
      </c>
      <c r="F23" t="n">
        <v>1513</v>
      </c>
      <c r="G23" t="n">
        <v>7061</v>
      </c>
      <c r="H23" s="4" t="n">
        <v>70704</v>
      </c>
      <c r="I23" s="4" t="n">
        <v>70704</v>
      </c>
      <c r="J23" s="4" t="n">
        <v>83214</v>
      </c>
      <c r="K23" s="3" t="n">
        <v>93.40000000000001</v>
      </c>
      <c r="L23" s="4" t="n">
        <v>16250</v>
      </c>
      <c r="M23" t="n">
        <v>1</v>
      </c>
      <c r="N23" t="inlineStr">
        <is>
          <t>No</t>
        </is>
      </c>
      <c r="O23" s="4" t="n">
        <v>43761</v>
      </c>
      <c r="P23" s="4" t="n">
        <v>79985</v>
      </c>
      <c r="Q23" s="4" t="n">
        <v>36224</v>
      </c>
      <c r="R23" s="5" t="n">
        <v>1.83</v>
      </c>
      <c r="S23" s="3" t="n">
        <v>83</v>
      </c>
      <c r="T23" s="3" t="n">
        <v>105.8</v>
      </c>
      <c r="U23" s="4">
        <f>J23-P23</f>
        <v>3229</v>
      </c>
      <c r="V23" s="5">
        <f>ROUND(J23/P23,3)</f>
        <v>1.04</v>
      </c>
      <c r="W23" s="4">
        <f>ROUND(J23/(T23/100),0)</f>
        <v>78652</v>
      </c>
      <c r="X23" s="5">
        <f>ROUND(J23/(I23*4),3)</f>
        <v>0.294</v>
      </c>
      <c r="Y23" s="5">
        <f>ROUND(J23/(H23*4),3)</f>
        <v>0.294</v>
      </c>
      <c r="Z23" t="str">
        <f>IF(J23&gt;P23,"Yes","No")</f>
        <v>Yes</v>
      </c>
      <c r="AA23" s="6">
        <f>RANK(V23,V$2:V$201,0)</f>
        <v>79</v>
      </c>
      <c r="AB23" s="6">
        <f>RANK(W23,W$2:W$201,0)</f>
        <v>50</v>
      </c>
      <c r="AC23" s="3">
        <f>ROUND(L23/J23*100,1)</f>
        <v>19.5</v>
      </c>
      <c r="AD23" s="5">
        <f>ROUND(M23/G23*10000,2)</f>
        <v>1.42</v>
      </c>
      <c r="AE23" t="inlineStr">
        <is>
          <t>College Scorecard (US Dept. of Education); Nobel Prize API; NCAA; state columns: US Census, Bureau of Economic Analysis</t>
        </is>
      </c>
    </row>
    <row r="24">
      <c r="A24" t="inlineStr">
        <is>
          <t>Carnegie Mellon University</t>
        </is>
      </c>
      <c r="B24" t="inlineStr">
        <is>
          <t>PA</t>
        </is>
      </c>
      <c r="C24" t="inlineStr">
        <is>
          <t>Pennsylvania</t>
        </is>
      </c>
      <c r="D24" t="inlineStr">
        <is>
          <t>Pittsburgh</t>
        </is>
      </c>
      <c r="E24" s="3" t="n">
        <v>11.7</v>
      </c>
      <c r="F24" t="n">
        <v>1546</v>
      </c>
      <c r="G24" t="n">
        <v>7304</v>
      </c>
      <c r="H24" s="4" t="n">
        <v>66246</v>
      </c>
      <c r="I24" s="4" t="n">
        <v>66246</v>
      </c>
      <c r="J24" s="4" t="n">
        <v>114862</v>
      </c>
      <c r="K24" s="3" t="n">
        <v>93.3</v>
      </c>
      <c r="L24" s="4" t="n">
        <v>21750</v>
      </c>
      <c r="M24" t="n">
        <v>2</v>
      </c>
      <c r="N24" t="inlineStr">
        <is>
          <t>No</t>
        </is>
      </c>
      <c r="O24" s="4" t="n">
        <v>40336</v>
      </c>
      <c r="P24" s="4" t="n">
        <v>65678</v>
      </c>
      <c r="Q24" s="4" t="n">
        <v>25342</v>
      </c>
      <c r="R24" s="5" t="n">
        <v>1.63</v>
      </c>
      <c r="S24" s="3" t="n">
        <v>63</v>
      </c>
      <c r="T24" s="3" t="n">
        <v>97.59999999999999</v>
      </c>
      <c r="U24" s="4">
        <f>J24-P24</f>
        <v>49184</v>
      </c>
      <c r="V24" s="5">
        <f>ROUND(J24/P24,3)</f>
        <v>1.749</v>
      </c>
      <c r="W24" s="4">
        <f>ROUND(J24/(T24/100),0)</f>
        <v>117686</v>
      </c>
      <c r="X24" s="5">
        <f>ROUND(J24/(I24*4),3)</f>
        <v>0.433</v>
      </c>
      <c r="Y24" s="5">
        <f>ROUND(J24/(H24*4),3)</f>
        <v>0.433</v>
      </c>
      <c r="Z24" t="str">
        <f>IF(J24&gt;P24,"Yes","No")</f>
        <v>Yes</v>
      </c>
      <c r="AA24" s="6">
        <f>RANK(V24,V$2:V$201,0)</f>
        <v>1</v>
      </c>
      <c r="AB24" s="6">
        <f>RANK(W24,W$2:W$201,0)</f>
        <v>1</v>
      </c>
      <c r="AC24" s="3">
        <f>ROUND(L24/J24*100,1)</f>
        <v>18.9</v>
      </c>
      <c r="AD24" s="5">
        <f>ROUND(M24/G24*10000,2)</f>
        <v>2.74</v>
      </c>
      <c r="AE24" t="inlineStr">
        <is>
          <t>College Scorecard (US Dept. of Education); Nobel Prize API; NCAA; state columns: US Census, Bureau of Economic Analysis</t>
        </is>
      </c>
    </row>
    <row r="25">
      <c r="A25" t="inlineStr">
        <is>
          <t>Washington University in St Louis</t>
        </is>
      </c>
      <c r="B25" t="inlineStr">
        <is>
          <t>MO</t>
        </is>
      </c>
      <c r="C25" t="inlineStr">
        <is>
          <t>Missouri</t>
        </is>
      </c>
      <c r="D25" t="inlineStr">
        <is>
          <t>St. Louis</t>
        </is>
      </c>
      <c r="E25" s="3" t="n">
        <v>12.1</v>
      </c>
      <c r="F25" t="n">
        <v>1530</v>
      </c>
      <c r="G25" t="n">
        <v>7857</v>
      </c>
      <c r="H25" s="4" t="n">
        <v>65790</v>
      </c>
      <c r="I25" s="4" t="n">
        <v>65790</v>
      </c>
      <c r="J25" s="4" t="n">
        <v>86182</v>
      </c>
      <c r="K25" s="3" t="n">
        <v>94.3</v>
      </c>
      <c r="L25" s="4" t="n">
        <v>17500</v>
      </c>
      <c r="M25" t="n">
        <v>5</v>
      </c>
      <c r="N25" t="inlineStr">
        <is>
          <t>No</t>
        </is>
      </c>
      <c r="O25" s="4" t="n">
        <v>37420</v>
      </c>
      <c r="P25" s="4" t="n">
        <v>61418</v>
      </c>
      <c r="Q25" s="4" t="n">
        <v>23998</v>
      </c>
      <c r="R25" s="5" t="n">
        <v>1.64</v>
      </c>
      <c r="S25" s="3" t="n">
        <v>64</v>
      </c>
      <c r="T25" s="3" t="n">
        <v>90.8</v>
      </c>
      <c r="U25" s="4">
        <f>J25-P25</f>
        <v>24764</v>
      </c>
      <c r="V25" s="5">
        <f>ROUND(J25/P25,3)</f>
        <v>1.403</v>
      </c>
      <c r="W25" s="4">
        <f>ROUND(J25/(T25/100),0)</f>
        <v>94914</v>
      </c>
      <c r="X25" s="5">
        <f>ROUND(J25/(I25*4),3)</f>
        <v>0.327</v>
      </c>
      <c r="Y25" s="5">
        <f>ROUND(J25/(H25*4),3)</f>
        <v>0.327</v>
      </c>
      <c r="Z25" t="str">
        <f>IF(J25&gt;P25,"Yes","No")</f>
        <v>Yes</v>
      </c>
      <c r="AA25" s="6">
        <f>RANK(V25,V$2:V$201,0)</f>
        <v>13</v>
      </c>
      <c r="AB25" s="6">
        <f>RANK(W25,W$2:W$201,0)</f>
        <v>18</v>
      </c>
      <c r="AC25" s="3">
        <f>ROUND(L25/J25*100,1)</f>
        <v>20.3</v>
      </c>
      <c r="AD25" s="5">
        <f>ROUND(M25/G25*10000,2)</f>
        <v>6.36</v>
      </c>
      <c r="AE25" t="inlineStr">
        <is>
          <t>College Scorecard (US Dept. of Education); Nobel Prize API; NCAA; state columns: US Census, Bureau of Economic Analysis</t>
        </is>
      </c>
    </row>
    <row r="26">
      <c r="A26" t="inlineStr">
        <is>
          <t>Georgetown University</t>
        </is>
      </c>
      <c r="B26" t="inlineStr">
        <is>
          <t>DC</t>
        </is>
      </c>
      <c r="C26" t="inlineStr">
        <is>
          <t>District of Columbia</t>
        </is>
      </c>
      <c r="D26" t="inlineStr">
        <is>
          <t>Washington</t>
        </is>
      </c>
      <c r="E26" s="3" t="n">
        <v>12.9</v>
      </c>
      <c r="F26" t="n">
        <v>1487</v>
      </c>
      <c r="G26" t="n">
        <v>7569</v>
      </c>
      <c r="H26" s="4" t="n">
        <v>68017</v>
      </c>
      <c r="I26" s="4" t="n">
        <v>68017</v>
      </c>
      <c r="J26" s="4" t="n">
        <v>103494</v>
      </c>
      <c r="K26" s="3" t="n">
        <v>94.5</v>
      </c>
      <c r="L26" s="4" t="n">
        <v>15500</v>
      </c>
      <c r="M26" t="n">
        <v>0</v>
      </c>
      <c r="N26" t="inlineStr">
        <is>
          <t>No</t>
        </is>
      </c>
      <c r="O26" s="4" t="n">
        <v>40715</v>
      </c>
      <c r="P26" s="4" t="n">
        <v>95628</v>
      </c>
      <c r="Q26" s="4" t="n">
        <v>54913</v>
      </c>
      <c r="R26" s="5" t="n">
        <v>2.35</v>
      </c>
      <c r="S26" s="3" t="n">
        <v>135</v>
      </c>
      <c r="T26" s="3" t="n">
        <v>109.9</v>
      </c>
      <c r="U26" s="4">
        <f>J26-P26</f>
        <v>7866</v>
      </c>
      <c r="V26" s="5">
        <f>ROUND(J26/P26,3)</f>
        <v>1.082</v>
      </c>
      <c r="W26" s="4">
        <f>ROUND(J26/(T26/100),0)</f>
        <v>94171</v>
      </c>
      <c r="X26" s="5">
        <f>ROUND(J26/(I26*4),3)</f>
        <v>0.38</v>
      </c>
      <c r="Y26" s="5">
        <f>ROUND(J26/(H26*4),3)</f>
        <v>0.38</v>
      </c>
      <c r="Z26" t="str">
        <f>IF(J26&gt;P26,"Yes","No")</f>
        <v>Yes</v>
      </c>
      <c r="AA26" s="6">
        <f>RANK(V26,V$2:V$201,0)</f>
        <v>67</v>
      </c>
      <c r="AB26" s="6">
        <f>RANK(W26,W$2:W$201,0)</f>
        <v>22</v>
      </c>
      <c r="AC26" s="3">
        <f>ROUND(L26/J26*100,1)</f>
        <v>15</v>
      </c>
      <c r="AD26" s="5">
        <f>ROUND(M26/G26*10000,2)</f>
        <v>0</v>
      </c>
      <c r="AE26" t="inlineStr">
        <is>
          <t>College Scorecard (US Dept. of Education); Nobel Prize API; NCAA; state columns: US Census, Bureau of Economic Analysis</t>
        </is>
      </c>
    </row>
    <row r="27">
      <c r="A27" t="inlineStr">
        <is>
          <t>Tulane University of Louisiana</t>
        </is>
      </c>
      <c r="B27" t="inlineStr">
        <is>
          <t>LA</t>
        </is>
      </c>
      <c r="C27" t="inlineStr">
        <is>
          <t>Louisiana</t>
        </is>
      </c>
      <c r="D27" t="inlineStr">
        <is>
          <t>New Orleans</t>
        </is>
      </c>
      <c r="E27" s="3" t="n">
        <v>14</v>
      </c>
      <c r="F27" t="n">
        <v>1448</v>
      </c>
      <c r="G27" t="n">
        <v>7767</v>
      </c>
      <c r="H27" s="4" t="n">
        <v>68678</v>
      </c>
      <c r="I27" s="4" t="n">
        <v>68678</v>
      </c>
      <c r="J27" s="4" t="n">
        <v>63268</v>
      </c>
      <c r="K27" s="3" t="n">
        <v>87.5</v>
      </c>
      <c r="L27" s="4" t="n">
        <v>20500</v>
      </c>
      <c r="M27" t="n">
        <v>0</v>
      </c>
      <c r="N27" t="inlineStr">
        <is>
          <t>No</t>
        </is>
      </c>
      <c r="O27" s="4" t="n">
        <v>36132</v>
      </c>
      <c r="P27" s="4" t="n">
        <v>57107</v>
      </c>
      <c r="Q27" s="4" t="n">
        <v>20975</v>
      </c>
      <c r="R27" s="5" t="n">
        <v>1.58</v>
      </c>
      <c r="S27" s="3" t="n">
        <v>58</v>
      </c>
      <c r="T27" s="3" t="n">
        <v>88.2</v>
      </c>
      <c r="U27" s="4">
        <f>J27-P27</f>
        <v>6161</v>
      </c>
      <c r="V27" s="5">
        <f>ROUND(J27/P27,3)</f>
        <v>1.108</v>
      </c>
      <c r="W27" s="4">
        <f>ROUND(J27/(T27/100),0)</f>
        <v>71732</v>
      </c>
      <c r="X27" s="5">
        <f>ROUND(J27/(I27*4),3)</f>
        <v>0.23</v>
      </c>
      <c r="Y27" s="5">
        <f>ROUND(J27/(H27*4),3)</f>
        <v>0.23</v>
      </c>
      <c r="Z27" t="str">
        <f>IF(J27&gt;P27,"Yes","No")</f>
        <v>Yes</v>
      </c>
      <c r="AA27" s="6">
        <f>RANK(V27,V$2:V$201,0)</f>
        <v>57</v>
      </c>
      <c r="AB27" s="6">
        <f>RANK(W27,W$2:W$201,0)</f>
        <v>78</v>
      </c>
      <c r="AC27" s="3">
        <f>ROUND(L27/J27*100,1)</f>
        <v>32.4</v>
      </c>
      <c r="AD27" s="5">
        <f>ROUND(M27/G27*10000,2)</f>
        <v>0</v>
      </c>
      <c r="AE27" t="inlineStr">
        <is>
          <t>College Scorecard (US Dept. of Education); Nobel Prize API; NCAA; state columns: US Census, Bureau of Economic Analysis</t>
        </is>
      </c>
    </row>
    <row r="28">
      <c r="A28" t="inlineStr">
        <is>
          <t>Georgia Institute of Technology-Main Campus</t>
        </is>
      </c>
      <c r="B28" t="inlineStr">
        <is>
          <t>GA</t>
        </is>
      </c>
      <c r="C28" t="inlineStr">
        <is>
          <t>Georgia</t>
        </is>
      </c>
      <c r="D28" t="inlineStr">
        <is>
          <t>Atlanta</t>
        </is>
      </c>
      <c r="E28" s="3" t="n">
        <v>14.1</v>
      </c>
      <c r="F28" t="n">
        <v>1480</v>
      </c>
      <c r="G28" t="n">
        <v>18785</v>
      </c>
      <c r="H28" s="4" t="n">
        <v>12058</v>
      </c>
      <c r="I28" s="4" t="n">
        <v>34484</v>
      </c>
      <c r="J28" s="4" t="n">
        <v>102772</v>
      </c>
      <c r="K28" s="3" t="n">
        <v>93.2</v>
      </c>
      <c r="L28" s="4" t="n">
        <v>21672</v>
      </c>
      <c r="M28" t="n">
        <v>0</v>
      </c>
      <c r="N28" t="inlineStr">
        <is>
          <t>No</t>
        </is>
      </c>
      <c r="O28" s="4" t="n">
        <v>36820</v>
      </c>
      <c r="P28" s="4" t="n">
        <v>64185</v>
      </c>
      <c r="Q28" s="4" t="n">
        <v>27365</v>
      </c>
      <c r="R28" s="5" t="n">
        <v>1.74</v>
      </c>
      <c r="S28" s="3" t="n">
        <v>74</v>
      </c>
      <c r="T28" s="3" t="n">
        <v>96.3</v>
      </c>
      <c r="U28" s="4">
        <f>J28-P28</f>
        <v>38587</v>
      </c>
      <c r="V28" s="5">
        <f>ROUND(J28/P28,3)</f>
        <v>1.601</v>
      </c>
      <c r="W28" s="4">
        <f>ROUND(J28/(T28/100),0)</f>
        <v>106721</v>
      </c>
      <c r="X28" s="5">
        <f>ROUND(J28/(I28*4),3)</f>
        <v>0.745</v>
      </c>
      <c r="Y28" s="5">
        <f>ROUND(J28/(H28*4),3)</f>
        <v>2.131</v>
      </c>
      <c r="Z28" t="str">
        <f>IF(J28&gt;P28,"Yes","No")</f>
        <v>Yes</v>
      </c>
      <c r="AA28" s="6">
        <f>RANK(V28,V$2:V$201,0)</f>
        <v>6</v>
      </c>
      <c r="AB28" s="6">
        <f>RANK(W28,W$2:W$201,0)</f>
        <v>6</v>
      </c>
      <c r="AC28" s="3">
        <f>ROUND(L28/J28*100,1)</f>
        <v>21.1</v>
      </c>
      <c r="AD28" s="5">
        <f>ROUND(M28/G28*10000,2)</f>
        <v>0</v>
      </c>
      <c r="AE28" t="inlineStr">
        <is>
          <t>College Scorecard (US Dept. of Education); Nobel Prize API; NCAA; state columns: US Census, Bureau of Economic Analysis</t>
        </is>
      </c>
    </row>
    <row r="29">
      <c r="A29" t="inlineStr">
        <is>
          <t>University of North Carolina at Chapel Hill</t>
        </is>
      </c>
      <c r="B29" t="inlineStr">
        <is>
          <t>NC</t>
        </is>
      </c>
      <c r="C29" t="inlineStr">
        <is>
          <t>North Carolina</t>
        </is>
      </c>
      <c r="D29" t="inlineStr">
        <is>
          <t>Chapel Hill</t>
        </is>
      </c>
      <c r="E29" s="3" t="n">
        <v>15.3</v>
      </c>
      <c r="F29" t="n">
        <v>1439</v>
      </c>
      <c r="G29" t="n">
        <v>20752</v>
      </c>
      <c r="H29" s="4" t="n">
        <v>8994</v>
      </c>
      <c r="I29" s="4" t="n">
        <v>41203</v>
      </c>
      <c r="J29" s="4" t="n">
        <v>72200</v>
      </c>
      <c r="K29" s="3" t="n">
        <v>91.59999999999999</v>
      </c>
      <c r="L29" s="4" t="n">
        <v>14000</v>
      </c>
      <c r="M29" t="n">
        <v>2</v>
      </c>
      <c r="N29" t="inlineStr">
        <is>
          <t>Yes</t>
        </is>
      </c>
      <c r="O29" s="4" t="n">
        <v>36723</v>
      </c>
      <c r="P29" s="4" t="n">
        <v>62338</v>
      </c>
      <c r="Q29" s="4" t="n">
        <v>25615</v>
      </c>
      <c r="R29" s="5" t="n">
        <v>1.7</v>
      </c>
      <c r="S29" s="3" t="n">
        <v>70</v>
      </c>
      <c r="T29" s="3" t="n">
        <v>94.3</v>
      </c>
      <c r="U29" s="4">
        <f>J29-P29</f>
        <v>9862</v>
      </c>
      <c r="V29" s="5">
        <f>ROUND(J29/P29,3)</f>
        <v>1.158</v>
      </c>
      <c r="W29" s="4">
        <f>ROUND(J29/(T29/100),0)</f>
        <v>76564</v>
      </c>
      <c r="X29" s="5">
        <f>ROUND(J29/(I29*4),3)</f>
        <v>0.438</v>
      </c>
      <c r="Y29" s="5">
        <f>ROUND(J29/(H29*4),3)</f>
        <v>2.007</v>
      </c>
      <c r="Z29" t="str">
        <f>IF(J29&gt;P29,"Yes","No")</f>
        <v>Yes</v>
      </c>
      <c r="AA29" s="6">
        <f>RANK(V29,V$2:V$201,0)</f>
        <v>46</v>
      </c>
      <c r="AB29" s="6">
        <f>RANK(W29,W$2:W$201,0)</f>
        <v>59</v>
      </c>
      <c r="AC29" s="3">
        <f>ROUND(L29/J29*100,1)</f>
        <v>19.4</v>
      </c>
      <c r="AD29" s="5">
        <f>ROUND(M29/G29*10000,2)</f>
        <v>0.96</v>
      </c>
      <c r="AE29" t="inlineStr">
        <is>
          <t>College Scorecard (US Dept. of Education); Nobel Prize API; NCAA; state columns: US Census, Bureau of Economic Analysis</t>
        </is>
      </c>
    </row>
    <row r="30">
      <c r="A30" t="inlineStr">
        <is>
          <t>University of Michigan-Ann Arbor</t>
        </is>
      </c>
      <c r="B30" t="inlineStr">
        <is>
          <t>MI</t>
        </is>
      </c>
      <c r="C30" t="inlineStr">
        <is>
          <t>Michigan</t>
        </is>
      </c>
      <c r="D30" t="inlineStr">
        <is>
          <t>Ann Arbor</t>
        </is>
      </c>
      <c r="E30" s="3" t="n">
        <v>15.6</v>
      </c>
      <c r="F30" t="n">
        <v>1465</v>
      </c>
      <c r="G30" t="n">
        <v>34177</v>
      </c>
      <c r="H30" s="4" t="n">
        <v>17736</v>
      </c>
      <c r="I30" s="4" t="n">
        <v>60946</v>
      </c>
      <c r="J30" s="4" t="n">
        <v>83648</v>
      </c>
      <c r="K30" s="3" t="n">
        <v>93.2</v>
      </c>
      <c r="L30" s="4" t="n">
        <v>19500</v>
      </c>
      <c r="M30" t="n">
        <v>1</v>
      </c>
      <c r="N30" t="inlineStr">
        <is>
          <t>Yes</t>
        </is>
      </c>
      <c r="O30" s="4" t="n">
        <v>36823</v>
      </c>
      <c r="P30" s="4" t="n">
        <v>64810</v>
      </c>
      <c r="Q30" s="4" t="n">
        <v>27987</v>
      </c>
      <c r="R30" s="5" t="n">
        <v>1.76</v>
      </c>
      <c r="S30" s="3" t="n">
        <v>76</v>
      </c>
      <c r="T30" s="3" t="n">
        <v>96.2</v>
      </c>
      <c r="U30" s="4">
        <f>J30-P30</f>
        <v>18838</v>
      </c>
      <c r="V30" s="5">
        <f>ROUND(J30/P30,3)</f>
        <v>1.291</v>
      </c>
      <c r="W30" s="4">
        <f>ROUND(J30/(T30/100),0)</f>
        <v>86952</v>
      </c>
      <c r="X30" s="5">
        <f>ROUND(J30/(I30*4),3)</f>
        <v>0.343</v>
      </c>
      <c r="Y30" s="5">
        <f>ROUND(J30/(H30*4),3)</f>
        <v>1.179</v>
      </c>
      <c r="Z30" t="str">
        <f>IF(J30&gt;P30,"Yes","No")</f>
        <v>Yes</v>
      </c>
      <c r="AA30" s="6">
        <f>RANK(V30,V$2:V$201,0)</f>
        <v>28</v>
      </c>
      <c r="AB30" s="6">
        <f>RANK(W30,W$2:W$201,0)</f>
        <v>28</v>
      </c>
      <c r="AC30" s="3">
        <f>ROUND(L30/J30*100,1)</f>
        <v>23.3</v>
      </c>
      <c r="AD30" s="5">
        <f>ROUND(M30/G30*10000,2)</f>
        <v>0.29</v>
      </c>
      <c r="AE30" t="inlineStr">
        <is>
          <t>College Scorecard (US Dept. of Education); Nobel Prize API; NCAA; state columns: US Census, Bureau of Economic Analysis</t>
        </is>
      </c>
    </row>
    <row r="31">
      <c r="A31" t="inlineStr">
        <is>
          <t>Boston College</t>
        </is>
      </c>
      <c r="B31" t="inlineStr">
        <is>
          <t>MA</t>
        </is>
      </c>
      <c r="C31" t="inlineStr">
        <is>
          <t>Massachusetts</t>
        </is>
      </c>
      <c r="D31" t="inlineStr">
        <is>
          <t>Chestnut Hill</t>
        </is>
      </c>
      <c r="E31" s="3" t="n">
        <v>16.4</v>
      </c>
      <c r="F31" t="n">
        <v>1507</v>
      </c>
      <c r="G31" t="n">
        <v>10085</v>
      </c>
      <c r="H31" s="4" t="n">
        <v>70702</v>
      </c>
      <c r="I31" s="4" t="n">
        <v>70702</v>
      </c>
      <c r="J31" s="4" t="n">
        <v>103937</v>
      </c>
      <c r="K31" s="3" t="n">
        <v>90.90000000000001</v>
      </c>
      <c r="L31" s="4" t="n">
        <v>19000</v>
      </c>
      <c r="M31" t="n">
        <v>0</v>
      </c>
      <c r="N31" t="inlineStr">
        <is>
          <t>No</t>
        </is>
      </c>
      <c r="O31" s="4" t="n">
        <v>43761</v>
      </c>
      <c r="P31" s="4" t="n">
        <v>79985</v>
      </c>
      <c r="Q31" s="4" t="n">
        <v>36224</v>
      </c>
      <c r="R31" s="5" t="n">
        <v>1.83</v>
      </c>
      <c r="S31" s="3" t="n">
        <v>83</v>
      </c>
      <c r="T31" s="3" t="n">
        <v>105.8</v>
      </c>
      <c r="U31" s="4">
        <f>J31-P31</f>
        <v>23952</v>
      </c>
      <c r="V31" s="5">
        <f>ROUND(J31/P31,3)</f>
        <v>1.299</v>
      </c>
      <c r="W31" s="4">
        <f>ROUND(J31/(T31/100),0)</f>
        <v>98239</v>
      </c>
      <c r="X31" s="5">
        <f>ROUND(J31/(I31*4),3)</f>
        <v>0.368</v>
      </c>
      <c r="Y31" s="5">
        <f>ROUND(J31/(H31*4),3)</f>
        <v>0.368</v>
      </c>
      <c r="Z31" t="str">
        <f>IF(J31&gt;P31,"Yes","No")</f>
        <v>Yes</v>
      </c>
      <c r="AA31" s="6">
        <f>RANK(V31,V$2:V$201,0)</f>
        <v>24</v>
      </c>
      <c r="AB31" s="6">
        <f>RANK(W31,W$2:W$201,0)</f>
        <v>12</v>
      </c>
      <c r="AC31" s="3">
        <f>ROUND(L31/J31*100,1)</f>
        <v>18.3</v>
      </c>
      <c r="AD31" s="5">
        <f>ROUND(M31/G31*10000,2)</f>
        <v>0</v>
      </c>
      <c r="AE31" t="inlineStr">
        <is>
          <t>College Scorecard (US Dept. of Education); Nobel Prize API; NCAA; state columns: US Census, Bureau of Economic Analysis</t>
        </is>
      </c>
    </row>
    <row r="32">
      <c r="A32" t="inlineStr">
        <is>
          <t>University of Virginia-Main Campus</t>
        </is>
      </c>
      <c r="B32" t="inlineStr">
        <is>
          <t>VA</t>
        </is>
      </c>
      <c r="C32" t="inlineStr">
        <is>
          <t>Virginia</t>
        </is>
      </c>
      <c r="D32" t="inlineStr">
        <is>
          <t>Charlottesville</t>
        </is>
      </c>
      <c r="E32" s="3" t="n">
        <v>16.8</v>
      </c>
      <c r="F32" t="n">
        <v>1480</v>
      </c>
      <c r="G32" t="n">
        <v>17597</v>
      </c>
      <c r="H32" s="4" t="n">
        <v>21803</v>
      </c>
      <c r="I32" s="4" t="n">
        <v>59512</v>
      </c>
      <c r="J32" s="4" t="n">
        <v>86863</v>
      </c>
      <c r="K32" s="3" t="n">
        <v>95.5</v>
      </c>
      <c r="L32" s="4" t="n">
        <v>17500</v>
      </c>
      <c r="M32" t="n">
        <v>0</v>
      </c>
      <c r="N32" t="inlineStr">
        <is>
          <t>Yes</t>
        </is>
      </c>
      <c r="O32" s="4" t="n">
        <v>41061</v>
      </c>
      <c r="P32" s="4" t="n">
        <v>74468</v>
      </c>
      <c r="Q32" s="4" t="n">
        <v>33407</v>
      </c>
      <c r="R32" s="5" t="n">
        <v>1.81</v>
      </c>
      <c r="S32" s="3" t="n">
        <v>81</v>
      </c>
      <c r="T32" s="3" t="n">
        <v>101.1</v>
      </c>
      <c r="U32" s="4">
        <f>J32-P32</f>
        <v>12395</v>
      </c>
      <c r="V32" s="5">
        <f>ROUND(J32/P32,3)</f>
        <v>1.166</v>
      </c>
      <c r="W32" s="4">
        <f>ROUND(J32/(T32/100),0)</f>
        <v>85918</v>
      </c>
      <c r="X32" s="5">
        <f>ROUND(J32/(I32*4),3)</f>
        <v>0.365</v>
      </c>
      <c r="Y32" s="5">
        <f>ROUND(J32/(H32*4),3)</f>
        <v>0.996</v>
      </c>
      <c r="Z32" t="str">
        <f>IF(J32&gt;P32,"Yes","No")</f>
        <v>Yes</v>
      </c>
      <c r="AA32" s="6">
        <f>RANK(V32,V$2:V$201,0)</f>
        <v>43</v>
      </c>
      <c r="AB32" s="6">
        <f>RANK(W32,W$2:W$201,0)</f>
        <v>29</v>
      </c>
      <c r="AC32" s="3">
        <f>ROUND(L32/J32*100,1)</f>
        <v>20.1</v>
      </c>
      <c r="AD32" s="5">
        <f>ROUND(M32/G32*10000,2)</f>
        <v>0</v>
      </c>
      <c r="AE32" t="inlineStr">
        <is>
          <t>College Scorecard (US Dept. of Education); Nobel Prize API; NCAA; state columns: US Census, Bureau of Economic Analysis</t>
        </is>
      </c>
    </row>
    <row r="33">
      <c r="A33" t="inlineStr">
        <is>
          <t>University of Miami</t>
        </is>
      </c>
      <c r="B33" t="inlineStr">
        <is>
          <t>FL</t>
        </is>
      </c>
      <c r="C33" t="inlineStr">
        <is>
          <t>Florida</t>
        </is>
      </c>
      <c r="D33" t="inlineStr">
        <is>
          <t>Coral Gables</t>
        </is>
      </c>
      <c r="E33" s="3" t="n">
        <v>18.9</v>
      </c>
      <c r="F33" t="n">
        <v>1415</v>
      </c>
      <c r="G33" t="n">
        <v>12913</v>
      </c>
      <c r="H33" s="4" t="n">
        <v>62616</v>
      </c>
      <c r="I33" s="4" t="n">
        <v>62616</v>
      </c>
      <c r="J33" s="4" t="n">
        <v>75328</v>
      </c>
      <c r="K33" s="3" t="n">
        <v>84</v>
      </c>
      <c r="L33" s="4" t="n">
        <v>17500</v>
      </c>
      <c r="M33" t="n">
        <v>0</v>
      </c>
      <c r="N33" t="inlineStr">
        <is>
          <t>Yes</t>
        </is>
      </c>
      <c r="O33" s="4" t="n">
        <v>36384</v>
      </c>
      <c r="P33" s="4" t="n">
        <v>58009</v>
      </c>
      <c r="Q33" s="4" t="n">
        <v>21625</v>
      </c>
      <c r="R33" s="5" t="n">
        <v>1.59</v>
      </c>
      <c r="S33" s="3" t="n">
        <v>59</v>
      </c>
      <c r="T33" s="3" t="n">
        <v>103.4</v>
      </c>
      <c r="U33" s="4">
        <f>J33-P33</f>
        <v>17319</v>
      </c>
      <c r="V33" s="5">
        <f>ROUND(J33/P33,3)</f>
        <v>1.299</v>
      </c>
      <c r="W33" s="4">
        <f>ROUND(J33/(T33/100),0)</f>
        <v>72851</v>
      </c>
      <c r="X33" s="5">
        <f>ROUND(J33/(I33*4),3)</f>
        <v>0.301</v>
      </c>
      <c r="Y33" s="5">
        <f>ROUND(J33/(H33*4),3)</f>
        <v>0.301</v>
      </c>
      <c r="Z33" t="str">
        <f>IF(J33&gt;P33,"Yes","No")</f>
        <v>Yes</v>
      </c>
      <c r="AA33" s="6">
        <f>RANK(V33,V$2:V$201,0)</f>
        <v>24</v>
      </c>
      <c r="AB33" s="6">
        <f>RANK(W33,W$2:W$201,0)</f>
        <v>73</v>
      </c>
      <c r="AC33" s="3">
        <f>ROUND(L33/J33*100,1)</f>
        <v>23.2</v>
      </c>
      <c r="AD33" s="5">
        <f>ROUND(M33/G33*10000,2)</f>
        <v>0</v>
      </c>
      <c r="AE33" t="inlineStr">
        <is>
          <t>College Scorecard (US Dept. of Education); Nobel Prize API; NCAA; state columns: US Census, Bureau of Economic Analysis</t>
        </is>
      </c>
    </row>
    <row r="34">
      <c r="A34" t="inlineStr">
        <is>
          <t>Florida Agricultural and Mechanical University</t>
        </is>
      </c>
      <c r="B34" t="inlineStr">
        <is>
          <t>FL</t>
        </is>
      </c>
      <c r="C34" t="inlineStr">
        <is>
          <t>Florida</t>
        </is>
      </c>
      <c r="D34" t="inlineStr">
        <is>
          <t>Tallahassee</t>
        </is>
      </c>
      <c r="E34" s="3" t="n">
        <v>20.6</v>
      </c>
      <c r="F34" t="n">
        <v>1107</v>
      </c>
      <c r="G34" t="n">
        <v>7582</v>
      </c>
      <c r="H34" s="4" t="n">
        <v>5785</v>
      </c>
      <c r="I34" s="4" t="n">
        <v>17725</v>
      </c>
      <c r="J34" s="4" t="n">
        <v>44349</v>
      </c>
      <c r="K34" s="3" t="n">
        <v>52.6</v>
      </c>
      <c r="L34" s="4" t="n">
        <v>23548</v>
      </c>
      <c r="M34" t="n">
        <v>0</v>
      </c>
      <c r="N34" t="inlineStr">
        <is>
          <t>No</t>
        </is>
      </c>
      <c r="O34" s="4" t="n">
        <v>36384</v>
      </c>
      <c r="P34" s="4" t="n">
        <v>58009</v>
      </c>
      <c r="Q34" s="4" t="n">
        <v>21625</v>
      </c>
      <c r="R34" s="5" t="n">
        <v>1.59</v>
      </c>
      <c r="S34" s="3" t="n">
        <v>59</v>
      </c>
      <c r="T34" s="3" t="n">
        <v>103.4</v>
      </c>
      <c r="U34" s="4">
        <f>J34-P34</f>
        <v>-13660</v>
      </c>
      <c r="V34" s="5">
        <f>ROUND(J34/P34,3)</f>
        <v>0.765</v>
      </c>
      <c r="W34" s="4">
        <f>ROUND(J34/(T34/100),0)</f>
        <v>42891</v>
      </c>
      <c r="X34" s="5">
        <f>ROUND(J34/(I34*4),3)</f>
        <v>0.626</v>
      </c>
      <c r="Y34" s="5">
        <f>ROUND(J34/(H34*4),3)</f>
        <v>1.917</v>
      </c>
      <c r="Z34" t="str">
        <f>IF(J34&gt;P34,"Yes","No")</f>
        <v>No</v>
      </c>
      <c r="AA34" s="6">
        <f>RANK(V34,V$2:V$201,0)</f>
        <v>180</v>
      </c>
      <c r="AB34" s="6">
        <f>RANK(W34,W$2:W$201,0)</f>
        <v>195</v>
      </c>
      <c r="AC34" s="3">
        <f>ROUND(L34/J34*100,1)</f>
        <v>53.1</v>
      </c>
      <c r="AD34" s="5">
        <f>ROUND(M34/G34*10000,2)</f>
        <v>0</v>
      </c>
      <c r="AE34" t="inlineStr">
        <is>
          <t>College Scorecard (US Dept. of Education); Nobel Prize API; NCAA; state columns: US Census, Bureau of Economic Analysis</t>
        </is>
      </c>
    </row>
    <row r="35">
      <c r="A35" t="inlineStr">
        <is>
          <t>Wake Forest University</t>
        </is>
      </c>
      <c r="B35" t="inlineStr">
        <is>
          <t>NC</t>
        </is>
      </c>
      <c r="C35" t="inlineStr">
        <is>
          <t>North Carolina</t>
        </is>
      </c>
      <c r="D35" t="inlineStr">
        <is>
          <t>Winston-Salem</t>
        </is>
      </c>
      <c r="E35" s="3" t="n">
        <v>21.7</v>
      </c>
      <c r="F35" t="n">
        <v>1475</v>
      </c>
      <c r="G35" t="n">
        <v>5485</v>
      </c>
      <c r="H35" s="4" t="n">
        <v>67642</v>
      </c>
      <c r="I35" s="4" t="n">
        <v>67642</v>
      </c>
      <c r="J35" s="4" t="n">
        <v>78158</v>
      </c>
      <c r="K35" s="3" t="n">
        <v>90</v>
      </c>
      <c r="L35" s="4" t="n">
        <v>21500</v>
      </c>
      <c r="M35" t="n">
        <v>0</v>
      </c>
      <c r="N35" t="inlineStr">
        <is>
          <t>No</t>
        </is>
      </c>
      <c r="O35" s="4" t="n">
        <v>36723</v>
      </c>
      <c r="P35" s="4" t="n">
        <v>62338</v>
      </c>
      <c r="Q35" s="4" t="n">
        <v>25615</v>
      </c>
      <c r="R35" s="5" t="n">
        <v>1.7</v>
      </c>
      <c r="S35" s="3" t="n">
        <v>70</v>
      </c>
      <c r="T35" s="3" t="n">
        <v>94.3</v>
      </c>
      <c r="U35" s="4">
        <f>J35-P35</f>
        <v>15820</v>
      </c>
      <c r="V35" s="5">
        <f>ROUND(J35/P35,3)</f>
        <v>1.254</v>
      </c>
      <c r="W35" s="4">
        <f>ROUND(J35/(T35/100),0)</f>
        <v>82882</v>
      </c>
      <c r="X35" s="5">
        <f>ROUND(J35/(I35*4),3)</f>
        <v>0.289</v>
      </c>
      <c r="Y35" s="5">
        <f>ROUND(J35/(H35*4),3)</f>
        <v>0.289</v>
      </c>
      <c r="Z35" t="str">
        <f>IF(J35&gt;P35,"Yes","No")</f>
        <v>Yes</v>
      </c>
      <c r="AA35" s="6">
        <f>RANK(V35,V$2:V$201,0)</f>
        <v>31</v>
      </c>
      <c r="AB35" s="6">
        <f>RANK(W35,W$2:W$201,0)</f>
        <v>35</v>
      </c>
      <c r="AC35" s="3">
        <f>ROUND(L35/J35*100,1)</f>
        <v>27.5</v>
      </c>
      <c r="AD35" s="5">
        <f>ROUND(M35/G35*10000,2)</f>
        <v>0</v>
      </c>
      <c r="AE35" t="inlineStr">
        <is>
          <t>College Scorecard (US Dept. of Education); Nobel Prize API; NCAA; state columns: US Census, Bureau of Economic Analysis</t>
        </is>
      </c>
    </row>
    <row r="36">
      <c r="A36" t="inlineStr">
        <is>
          <t>University of Florida</t>
        </is>
      </c>
      <c r="B36" t="inlineStr">
        <is>
          <t>FL</t>
        </is>
      </c>
      <c r="C36" t="inlineStr">
        <is>
          <t>Florida</t>
        </is>
      </c>
      <c r="D36" t="inlineStr">
        <is>
          <t>Gainesville</t>
        </is>
      </c>
      <c r="E36" s="3" t="n">
        <v>24.2</v>
      </c>
      <c r="F36" t="n">
        <v>1403</v>
      </c>
      <c r="G36" t="n">
        <v>35629</v>
      </c>
      <c r="H36" s="4" t="n">
        <v>6381</v>
      </c>
      <c r="I36" s="4" t="n">
        <v>28659</v>
      </c>
      <c r="J36" s="4" t="n">
        <v>71588</v>
      </c>
      <c r="K36" s="3" t="n">
        <v>91.3</v>
      </c>
      <c r="L36" s="4" t="n">
        <v>15000</v>
      </c>
      <c r="M36" t="n">
        <v>0</v>
      </c>
      <c r="N36" t="inlineStr">
        <is>
          <t>Yes</t>
        </is>
      </c>
      <c r="O36" s="4" t="n">
        <v>36384</v>
      </c>
      <c r="P36" s="4" t="n">
        <v>58009</v>
      </c>
      <c r="Q36" s="4" t="n">
        <v>21625</v>
      </c>
      <c r="R36" s="5" t="n">
        <v>1.59</v>
      </c>
      <c r="S36" s="3" t="n">
        <v>59</v>
      </c>
      <c r="T36" s="3" t="n">
        <v>103.4</v>
      </c>
      <c r="U36" s="4">
        <f>J36-P36</f>
        <v>13579</v>
      </c>
      <c r="V36" s="5">
        <f>ROUND(J36/P36,3)</f>
        <v>1.234</v>
      </c>
      <c r="W36" s="4">
        <f>ROUND(J36/(T36/100),0)</f>
        <v>69234</v>
      </c>
      <c r="X36" s="5">
        <f>ROUND(J36/(I36*4),3)</f>
        <v>0.624</v>
      </c>
      <c r="Y36" s="5">
        <f>ROUND(J36/(H36*4),3)</f>
        <v>2.805</v>
      </c>
      <c r="Z36" t="str">
        <f>IF(J36&gt;P36,"Yes","No")</f>
        <v>Yes</v>
      </c>
      <c r="AA36" s="6">
        <f>RANK(V36,V$2:V$201,0)</f>
        <v>33</v>
      </c>
      <c r="AB36" s="6">
        <f>RANK(W36,W$2:W$201,0)</f>
        <v>91</v>
      </c>
      <c r="AC36" s="3">
        <f>ROUND(L36/J36*100,1)</f>
        <v>21</v>
      </c>
      <c r="AD36" s="5">
        <f>ROUND(M36/G36*10000,2)</f>
        <v>0</v>
      </c>
      <c r="AE36" t="inlineStr">
        <is>
          <t>College Scorecard (US Dept. of Education); Nobel Prize API; NCAA; state columns: US Census, Bureau of Economic Analysis</t>
        </is>
      </c>
    </row>
    <row r="37">
      <c r="A37" t="inlineStr">
        <is>
          <t>Florida State University</t>
        </is>
      </c>
      <c r="B37" t="inlineStr">
        <is>
          <t>FL</t>
        </is>
      </c>
      <c r="C37" t="inlineStr">
        <is>
          <t>Florida</t>
        </is>
      </c>
      <c r="D37" t="inlineStr">
        <is>
          <t>Tallahassee</t>
        </is>
      </c>
      <c r="E37" s="3" t="n">
        <v>24.2</v>
      </c>
      <c r="F37" t="n">
        <v>1361</v>
      </c>
      <c r="G37" t="n">
        <v>32212</v>
      </c>
      <c r="H37" s="4" t="n">
        <v>5656</v>
      </c>
      <c r="I37" s="4" t="n">
        <v>18786</v>
      </c>
      <c r="J37" s="4" t="n">
        <v>61675</v>
      </c>
      <c r="K37" s="3" t="n">
        <v>84.3</v>
      </c>
      <c r="L37" s="4" t="n">
        <v>18000</v>
      </c>
      <c r="M37" t="n">
        <v>0</v>
      </c>
      <c r="N37" t="inlineStr">
        <is>
          <t>No</t>
        </is>
      </c>
      <c r="O37" s="4" t="n">
        <v>36384</v>
      </c>
      <c r="P37" s="4" t="n">
        <v>58009</v>
      </c>
      <c r="Q37" s="4" t="n">
        <v>21625</v>
      </c>
      <c r="R37" s="5" t="n">
        <v>1.59</v>
      </c>
      <c r="S37" s="3" t="n">
        <v>59</v>
      </c>
      <c r="T37" s="3" t="n">
        <v>103.4</v>
      </c>
      <c r="U37" s="4">
        <f>J37-P37</f>
        <v>3666</v>
      </c>
      <c r="V37" s="5">
        <f>ROUND(J37/P37,3)</f>
        <v>1.063</v>
      </c>
      <c r="W37" s="4">
        <f>ROUND(J37/(T37/100),0)</f>
        <v>59647</v>
      </c>
      <c r="X37" s="5">
        <f>ROUND(J37/(I37*4),3)</f>
        <v>0.821</v>
      </c>
      <c r="Y37" s="5">
        <f>ROUND(J37/(H37*4),3)</f>
        <v>2.726</v>
      </c>
      <c r="Z37" t="str">
        <f>IF(J37&gt;P37,"Yes","No")</f>
        <v>Yes</v>
      </c>
      <c r="AA37" s="6">
        <f>RANK(V37,V$2:V$201,0)</f>
        <v>72</v>
      </c>
      <c r="AB37" s="6">
        <f>RANK(W37,W$2:W$201,0)</f>
        <v>136</v>
      </c>
      <c r="AC37" s="3">
        <f>ROUND(L37/J37*100,1)</f>
        <v>29.2</v>
      </c>
      <c r="AD37" s="5">
        <f>ROUND(M37/G37*10000,2)</f>
        <v>0</v>
      </c>
      <c r="AE37" t="inlineStr">
        <is>
          <t>College Scorecard (US Dept. of Education); Nobel Prize API; NCAA; state columns: US Census, Bureau of Economic Analysis</t>
        </is>
      </c>
    </row>
    <row r="38">
      <c r="A38" t="inlineStr">
        <is>
          <t>Lehigh University</t>
        </is>
      </c>
      <c r="B38" t="inlineStr">
        <is>
          <t>PA</t>
        </is>
      </c>
      <c r="C38" t="inlineStr">
        <is>
          <t>Pennsylvania</t>
        </is>
      </c>
      <c r="D38" t="inlineStr">
        <is>
          <t>Bethlehem</t>
        </is>
      </c>
      <c r="E38" s="3" t="n">
        <v>25.9</v>
      </c>
      <c r="F38" t="n">
        <v>1440</v>
      </c>
      <c r="G38" t="n">
        <v>5898</v>
      </c>
      <c r="H38" s="4" t="n">
        <v>64980</v>
      </c>
      <c r="I38" s="4" t="n">
        <v>64980</v>
      </c>
      <c r="J38" s="4" t="n">
        <v>105584</v>
      </c>
      <c r="K38" s="3" t="n">
        <v>88.5</v>
      </c>
      <c r="L38" s="4" t="n">
        <v>21960</v>
      </c>
      <c r="M38" t="n">
        <v>0</v>
      </c>
      <c r="N38" t="inlineStr">
        <is>
          <t>Yes</t>
        </is>
      </c>
      <c r="O38" s="4" t="n">
        <v>40336</v>
      </c>
      <c r="P38" s="4" t="n">
        <v>65678</v>
      </c>
      <c r="Q38" s="4" t="n">
        <v>25342</v>
      </c>
      <c r="R38" s="5" t="n">
        <v>1.63</v>
      </c>
      <c r="S38" s="3" t="n">
        <v>63</v>
      </c>
      <c r="T38" s="3" t="n">
        <v>97.59999999999999</v>
      </c>
      <c r="U38" s="4">
        <f>J38-P38</f>
        <v>39906</v>
      </c>
      <c r="V38" s="5">
        <f>ROUND(J38/P38,3)</f>
        <v>1.608</v>
      </c>
      <c r="W38" s="4">
        <f>ROUND(J38/(T38/100),0)</f>
        <v>108180</v>
      </c>
      <c r="X38" s="5">
        <f>ROUND(J38/(I38*4),3)</f>
        <v>0.406</v>
      </c>
      <c r="Y38" s="5">
        <f>ROUND(J38/(H38*4),3)</f>
        <v>0.406</v>
      </c>
      <c r="Z38" t="str">
        <f>IF(J38&gt;P38,"Yes","No")</f>
        <v>Yes</v>
      </c>
      <c r="AA38" s="6">
        <f>RANK(V38,V$2:V$201,0)</f>
        <v>4</v>
      </c>
      <c r="AB38" s="6">
        <f>RANK(W38,W$2:W$201,0)</f>
        <v>4</v>
      </c>
      <c r="AC38" s="3">
        <f>ROUND(L38/J38*100,1)</f>
        <v>20.8</v>
      </c>
      <c r="AD38" s="5">
        <f>ROUND(M38/G38*10000,2)</f>
        <v>0</v>
      </c>
      <c r="AE38" t="inlineStr">
        <is>
          <t>College Scorecard (US Dept. of Education); Nobel Prize API; NCAA; state columns: US Census, Bureau of Economic Analysis</t>
        </is>
      </c>
    </row>
    <row r="39">
      <c r="A39" t="inlineStr">
        <is>
          <t>The University of Texas at Austin</t>
        </is>
      </c>
      <c r="B39" t="inlineStr">
        <is>
          <t>TX</t>
        </is>
      </c>
      <c r="C39" t="inlineStr">
        <is>
          <t>Texas</t>
        </is>
      </c>
      <c r="D39" t="inlineStr">
        <is>
          <t>Austin</t>
        </is>
      </c>
      <c r="E39" s="3" t="n">
        <v>26.6</v>
      </c>
      <c r="F39" t="n">
        <v>1395</v>
      </c>
      <c r="G39" t="n">
        <v>42855</v>
      </c>
      <c r="H39" s="4" t="n">
        <v>11688</v>
      </c>
      <c r="I39" s="4" t="n">
        <v>44908</v>
      </c>
      <c r="J39" s="4" t="n">
        <v>75121</v>
      </c>
      <c r="K39" s="3" t="n">
        <v>88.3</v>
      </c>
      <c r="L39" s="4" t="n">
        <v>20500</v>
      </c>
      <c r="M39" t="n">
        <v>0</v>
      </c>
      <c r="N39" t="inlineStr">
        <is>
          <t>Yes</t>
        </is>
      </c>
      <c r="O39" s="4" t="n">
        <v>37086</v>
      </c>
      <c r="P39" s="4" t="n">
        <v>66474</v>
      </c>
      <c r="Q39" s="4" t="n">
        <v>29388</v>
      </c>
      <c r="R39" s="5" t="n">
        <v>1.79</v>
      </c>
      <c r="S39" s="3" t="n">
        <v>79</v>
      </c>
      <c r="T39" s="3" t="n">
        <v>97.09999999999999</v>
      </c>
      <c r="U39" s="4">
        <f>J39-P39</f>
        <v>8647</v>
      </c>
      <c r="V39" s="5">
        <f>ROUND(J39/P39,3)</f>
        <v>1.13</v>
      </c>
      <c r="W39" s="4">
        <f>ROUND(J39/(T39/100),0)</f>
        <v>77365</v>
      </c>
      <c r="X39" s="5">
        <f>ROUND(J39/(I39*4),3)</f>
        <v>0.418</v>
      </c>
      <c r="Y39" s="5">
        <f>ROUND(J39/(H39*4),3)</f>
        <v>1.607</v>
      </c>
      <c r="Z39" t="str">
        <f>IF(J39&gt;P39,"Yes","No")</f>
        <v>Yes</v>
      </c>
      <c r="AA39" s="6">
        <f>RANK(V39,V$2:V$201,0)</f>
        <v>56</v>
      </c>
      <c r="AB39" s="6">
        <f>RANK(W39,W$2:W$201,0)</f>
        <v>56</v>
      </c>
      <c r="AC39" s="3">
        <f>ROUND(L39/J39*100,1)</f>
        <v>27.3</v>
      </c>
      <c r="AD39" s="5">
        <f>ROUND(M39/G39*10000,2)</f>
        <v>0</v>
      </c>
      <c r="AE39" t="inlineStr">
        <is>
          <t>College Scorecard (US Dept. of Education); Nobel Prize API; NCAA; state columns: US Census, Bureau of Economic Analysis</t>
        </is>
      </c>
    </row>
    <row r="40">
      <c r="A40" t="inlineStr">
        <is>
          <t>University of California-San Diego</t>
        </is>
      </c>
      <c r="B40" t="inlineStr">
        <is>
          <t>CA</t>
        </is>
      </c>
      <c r="C40" t="inlineStr">
        <is>
          <t>California</t>
        </is>
      </c>
      <c r="D40" t="inlineStr">
        <is>
          <t>La Jolla</t>
        </is>
      </c>
      <c r="E40" s="3" t="n">
        <v>26.7</v>
      </c>
      <c r="G40" t="n">
        <v>34948</v>
      </c>
      <c r="H40" s="4" t="n">
        <v>16758</v>
      </c>
      <c r="I40" s="4" t="n">
        <v>50958</v>
      </c>
      <c r="J40" s="4" t="n">
        <v>84943</v>
      </c>
      <c r="K40" s="3" t="n">
        <v>86.8</v>
      </c>
      <c r="L40" s="4" t="n">
        <v>15500</v>
      </c>
      <c r="M40" t="n">
        <v>43</v>
      </c>
      <c r="N40" t="inlineStr">
        <is>
          <t>Yes</t>
        </is>
      </c>
      <c r="O40" s="4" t="n">
        <v>40803</v>
      </c>
      <c r="P40" s="4" t="n">
        <v>78278</v>
      </c>
      <c r="Q40" s="4" t="n">
        <v>37475</v>
      </c>
      <c r="R40" s="5" t="n">
        <v>1.92</v>
      </c>
      <c r="S40" s="3" t="n">
        <v>92</v>
      </c>
      <c r="T40" s="3" t="n">
        <v>110.7</v>
      </c>
      <c r="U40" s="4">
        <f>J40-P40</f>
        <v>6665</v>
      </c>
      <c r="V40" s="5">
        <f>ROUND(J40/P40,3)</f>
        <v>1.085</v>
      </c>
      <c r="W40" s="4">
        <f>ROUND(J40/(T40/100),0)</f>
        <v>76733</v>
      </c>
      <c r="X40" s="5">
        <f>ROUND(J40/(I40*4),3)</f>
        <v>0.417</v>
      </c>
      <c r="Y40" s="5">
        <f>ROUND(J40/(H40*4),3)</f>
        <v>1.267</v>
      </c>
      <c r="Z40" t="str">
        <f>IF(J40&gt;P40,"Yes","No")</f>
        <v>Yes</v>
      </c>
      <c r="AA40" s="6">
        <f>RANK(V40,V$2:V$201,0)</f>
        <v>65</v>
      </c>
      <c r="AB40" s="6">
        <f>RANK(W40,W$2:W$201,0)</f>
        <v>57</v>
      </c>
      <c r="AC40" s="3">
        <f>ROUND(L40/J40*100,1)</f>
        <v>18.2</v>
      </c>
      <c r="AD40" s="5">
        <f>ROUND(M40/G40*10000,2)</f>
        <v>12.3</v>
      </c>
      <c r="AE40" t="inlineStr">
        <is>
          <t>College Scorecard (US Dept. of Education); Nobel Prize API; NCAA; state columns: US Census, Bureau of Economic Analysis</t>
        </is>
      </c>
    </row>
    <row r="41">
      <c r="A41" t="inlineStr">
        <is>
          <t>Villanova University</t>
        </is>
      </c>
      <c r="B41" t="inlineStr">
        <is>
          <t>PA</t>
        </is>
      </c>
      <c r="C41" t="inlineStr">
        <is>
          <t>Pennsylvania</t>
        </is>
      </c>
      <c r="D41" t="inlineStr">
        <is>
          <t>Villanova</t>
        </is>
      </c>
      <c r="E41" s="3" t="n">
        <v>27</v>
      </c>
      <c r="F41" t="n">
        <v>1460</v>
      </c>
      <c r="G41" t="n">
        <v>6938</v>
      </c>
      <c r="H41" s="4" t="n">
        <v>67776</v>
      </c>
      <c r="I41" s="4" t="n">
        <v>67776</v>
      </c>
      <c r="J41" s="4" t="n">
        <v>100423</v>
      </c>
      <c r="K41" s="3" t="n">
        <v>92.09999999999999</v>
      </c>
      <c r="L41" s="4" t="n">
        <v>25874</v>
      </c>
      <c r="M41" t="n">
        <v>0</v>
      </c>
      <c r="N41" t="inlineStr">
        <is>
          <t>Yes</t>
        </is>
      </c>
      <c r="O41" s="4" t="n">
        <v>40336</v>
      </c>
      <c r="P41" s="4" t="n">
        <v>65678</v>
      </c>
      <c r="Q41" s="4" t="n">
        <v>25342</v>
      </c>
      <c r="R41" s="5" t="n">
        <v>1.63</v>
      </c>
      <c r="S41" s="3" t="n">
        <v>63</v>
      </c>
      <c r="T41" s="3" t="n">
        <v>97.59999999999999</v>
      </c>
      <c r="U41" s="4">
        <f>J41-P41</f>
        <v>34745</v>
      </c>
      <c r="V41" s="5">
        <f>ROUND(J41/P41,3)</f>
        <v>1.529</v>
      </c>
      <c r="W41" s="4">
        <f>ROUND(J41/(T41/100),0)</f>
        <v>102892</v>
      </c>
      <c r="X41" s="5">
        <f>ROUND(J41/(I41*4),3)</f>
        <v>0.37</v>
      </c>
      <c r="Y41" s="5">
        <f>ROUND(J41/(H41*4),3)</f>
        <v>0.37</v>
      </c>
      <c r="Z41" t="str">
        <f>IF(J41&gt;P41,"Yes","No")</f>
        <v>Yes</v>
      </c>
      <c r="AA41" s="6">
        <f>RANK(V41,V$2:V$201,0)</f>
        <v>9</v>
      </c>
      <c r="AB41" s="6">
        <f>RANK(W41,W$2:W$201,0)</f>
        <v>8</v>
      </c>
      <c r="AC41" s="3">
        <f>ROUND(L41/J41*100,1)</f>
        <v>25.8</v>
      </c>
      <c r="AD41" s="5">
        <f>ROUND(M41/G41*10000,2)</f>
        <v>0</v>
      </c>
      <c r="AE41" t="inlineStr">
        <is>
          <t>College Scorecard (US Dept. of Education); Nobel Prize API; NCAA; state columns: US Census, Bureau of Economic Analysis</t>
        </is>
      </c>
    </row>
    <row r="42">
      <c r="A42" t="inlineStr">
        <is>
          <t>University of California-Irvine</t>
        </is>
      </c>
      <c r="B42" t="inlineStr">
        <is>
          <t>CA</t>
        </is>
      </c>
      <c r="C42" t="inlineStr">
        <is>
          <t>California</t>
        </is>
      </c>
      <c r="D42" t="inlineStr">
        <is>
          <t>Irvine</t>
        </is>
      </c>
      <c r="E42" s="3" t="n">
        <v>28.6</v>
      </c>
      <c r="G42" t="n">
        <v>30197</v>
      </c>
      <c r="H42" s="4" t="n">
        <v>15722</v>
      </c>
      <c r="I42" s="4" t="n">
        <v>49922</v>
      </c>
      <c r="J42" s="4" t="n">
        <v>80735</v>
      </c>
      <c r="K42" s="3" t="n">
        <v>86.40000000000001</v>
      </c>
      <c r="L42" s="4" t="n">
        <v>15000</v>
      </c>
      <c r="M42" t="n">
        <v>43</v>
      </c>
      <c r="N42" t="inlineStr">
        <is>
          <t>Yes</t>
        </is>
      </c>
      <c r="O42" s="4" t="n">
        <v>40803</v>
      </c>
      <c r="P42" s="4" t="n">
        <v>78278</v>
      </c>
      <c r="Q42" s="4" t="n">
        <v>37475</v>
      </c>
      <c r="R42" s="5" t="n">
        <v>1.92</v>
      </c>
      <c r="S42" s="3" t="n">
        <v>92</v>
      </c>
      <c r="T42" s="3" t="n">
        <v>110.7</v>
      </c>
      <c r="U42" s="4">
        <f>J42-P42</f>
        <v>2457</v>
      </c>
      <c r="V42" s="5">
        <f>ROUND(J42/P42,3)</f>
        <v>1.031</v>
      </c>
      <c r="W42" s="4">
        <f>ROUND(J42/(T42/100),0)</f>
        <v>72931</v>
      </c>
      <c r="X42" s="5">
        <f>ROUND(J42/(I42*4),3)</f>
        <v>0.404</v>
      </c>
      <c r="Y42" s="5">
        <f>ROUND(J42/(H42*4),3)</f>
        <v>1.284</v>
      </c>
      <c r="Z42" t="str">
        <f>IF(J42&gt;P42,"Yes","No")</f>
        <v>Yes</v>
      </c>
      <c r="AA42" s="6">
        <f>RANK(V42,V$2:V$201,0)</f>
        <v>84</v>
      </c>
      <c r="AB42" s="6">
        <f>RANK(W42,W$2:W$201,0)</f>
        <v>71</v>
      </c>
      <c r="AC42" s="3">
        <f>ROUND(L42/J42*100,1)</f>
        <v>18.6</v>
      </c>
      <c r="AD42" s="5">
        <f>ROUND(M42/G42*10000,2)</f>
        <v>14.24</v>
      </c>
      <c r="AE42" t="inlineStr">
        <is>
          <t>College Scorecard (US Dept. of Education); Nobel Prize API; NCAA; state columns: US Census, Bureau of Economic Analysis</t>
        </is>
      </c>
    </row>
    <row r="43">
      <c r="A43" t="inlineStr">
        <is>
          <t>California Polytechnic State University-San Luis Obispo</t>
        </is>
      </c>
      <c r="B43" t="inlineStr">
        <is>
          <t>CA</t>
        </is>
      </c>
      <c r="C43" t="inlineStr">
        <is>
          <t>California</t>
        </is>
      </c>
      <c r="D43" t="inlineStr">
        <is>
          <t>San Luis Obispo</t>
        </is>
      </c>
      <c r="E43" s="3" t="n">
        <v>31.3</v>
      </c>
      <c r="G43" t="n">
        <v>21996</v>
      </c>
      <c r="H43" s="4" t="n">
        <v>13596</v>
      </c>
      <c r="I43" s="4" t="n">
        <v>34665</v>
      </c>
      <c r="J43" s="4" t="n">
        <v>90768</v>
      </c>
      <c r="K43" s="3" t="n">
        <v>85.7</v>
      </c>
      <c r="L43" s="4" t="n">
        <v>18500</v>
      </c>
      <c r="M43" t="n">
        <v>0</v>
      </c>
      <c r="N43" t="inlineStr">
        <is>
          <t>No</t>
        </is>
      </c>
      <c r="O43" s="4" t="n">
        <v>40803</v>
      </c>
      <c r="P43" s="4" t="n">
        <v>78278</v>
      </c>
      <c r="Q43" s="4" t="n">
        <v>37475</v>
      </c>
      <c r="R43" s="5" t="n">
        <v>1.92</v>
      </c>
      <c r="S43" s="3" t="n">
        <v>92</v>
      </c>
      <c r="T43" s="3" t="n">
        <v>110.7</v>
      </c>
      <c r="U43" s="4">
        <f>J43-P43</f>
        <v>12490</v>
      </c>
      <c r="V43" s="5">
        <f>ROUND(J43/P43,3)</f>
        <v>1.16</v>
      </c>
      <c r="W43" s="4">
        <f>ROUND(J43/(T43/100),0)</f>
        <v>81995</v>
      </c>
      <c r="X43" s="5">
        <f>ROUND(J43/(I43*4),3)</f>
        <v>0.655</v>
      </c>
      <c r="Y43" s="5">
        <f>ROUND(J43/(H43*4),3)</f>
        <v>1.669</v>
      </c>
      <c r="Z43" t="str">
        <f>IF(J43&gt;P43,"Yes","No")</f>
        <v>Yes</v>
      </c>
      <c r="AA43" s="6">
        <f>RANK(V43,V$2:V$201,0)</f>
        <v>45</v>
      </c>
      <c r="AB43" s="6">
        <f>RANK(W43,W$2:W$201,0)</f>
        <v>37</v>
      </c>
      <c r="AC43" s="3">
        <f>ROUND(L43/J43*100,1)</f>
        <v>20.4</v>
      </c>
      <c r="AD43" s="5">
        <f>ROUND(M43/G43*10000,2)</f>
        <v>0</v>
      </c>
      <c r="AE43" t="inlineStr">
        <is>
          <t>College Scorecard (US Dept. of Education); Nobel Prize API; NCAA; state columns: US Census, Bureau of Economic Analysis</t>
        </is>
      </c>
    </row>
    <row r="44">
      <c r="A44" t="inlineStr">
        <is>
          <t>University of California-Santa Barbara</t>
        </is>
      </c>
      <c r="B44" t="inlineStr">
        <is>
          <t>CA</t>
        </is>
      </c>
      <c r="C44" t="inlineStr">
        <is>
          <t>California</t>
        </is>
      </c>
      <c r="D44" t="inlineStr">
        <is>
          <t>Santa Barbara</t>
        </is>
      </c>
      <c r="E44" s="3" t="n">
        <v>33</v>
      </c>
      <c r="G44" t="n">
        <v>23113</v>
      </c>
      <c r="H44" s="4" t="n">
        <v>16414</v>
      </c>
      <c r="I44" s="4" t="n">
        <v>50614</v>
      </c>
      <c r="J44" s="4" t="n">
        <v>74915</v>
      </c>
      <c r="K44" s="3" t="n">
        <v>84.2</v>
      </c>
      <c r="L44" s="4" t="n">
        <v>13993</v>
      </c>
      <c r="M44" t="n">
        <v>43</v>
      </c>
      <c r="N44" t="inlineStr">
        <is>
          <t>Yes</t>
        </is>
      </c>
      <c r="O44" s="4" t="n">
        <v>40803</v>
      </c>
      <c r="P44" s="4" t="n">
        <v>78278</v>
      </c>
      <c r="Q44" s="4" t="n">
        <v>37475</v>
      </c>
      <c r="R44" s="5" t="n">
        <v>1.92</v>
      </c>
      <c r="S44" s="3" t="n">
        <v>92</v>
      </c>
      <c r="T44" s="3" t="n">
        <v>110.7</v>
      </c>
      <c r="U44" s="4">
        <f>J44-P44</f>
        <v>-3363</v>
      </c>
      <c r="V44" s="5">
        <f>ROUND(J44/P44,3)</f>
        <v>0.957</v>
      </c>
      <c r="W44" s="4">
        <f>ROUND(J44/(T44/100),0)</f>
        <v>67674</v>
      </c>
      <c r="X44" s="5">
        <f>ROUND(J44/(I44*4),3)</f>
        <v>0.37</v>
      </c>
      <c r="Y44" s="5">
        <f>ROUND(J44/(H44*4),3)</f>
        <v>1.141</v>
      </c>
      <c r="Z44" t="str">
        <f>IF(J44&gt;P44,"Yes","No")</f>
        <v>No</v>
      </c>
      <c r="AA44" s="6">
        <f>RANK(V44,V$2:V$201,0)</f>
        <v>117</v>
      </c>
      <c r="AB44" s="6">
        <f>RANK(W44,W$2:W$201,0)</f>
        <v>102</v>
      </c>
      <c r="AC44" s="3">
        <f>ROUND(L44/J44*100,1)</f>
        <v>18.7</v>
      </c>
      <c r="AD44" s="5">
        <f>ROUND(M44/G44*10000,2)</f>
        <v>18.6</v>
      </c>
      <c r="AE44" t="inlineStr">
        <is>
          <t>College Scorecard (US Dept. of Education); Nobel Prize API; NCAA; state columns: US Census, Bureau of Economic Analysis</t>
        </is>
      </c>
    </row>
    <row r="45">
      <c r="A45" t="inlineStr">
        <is>
          <t>Fairfield University</t>
        </is>
      </c>
      <c r="B45" t="inlineStr">
        <is>
          <t>CT</t>
        </is>
      </c>
      <c r="C45" t="inlineStr">
        <is>
          <t>Connecticut</t>
        </is>
      </c>
      <c r="D45" t="inlineStr">
        <is>
          <t>Fairfield</t>
        </is>
      </c>
      <c r="E45" s="3" t="n">
        <v>33.3</v>
      </c>
      <c r="F45" t="n">
        <v>1335</v>
      </c>
      <c r="G45" t="n">
        <v>5373</v>
      </c>
      <c r="H45" s="4" t="n">
        <v>58350</v>
      </c>
      <c r="I45" s="4" t="n">
        <v>58350</v>
      </c>
      <c r="J45" s="4" t="n">
        <v>88794</v>
      </c>
      <c r="K45" s="3" t="n">
        <v>84.09999999999999</v>
      </c>
      <c r="L45" s="4" t="n">
        <v>26000</v>
      </c>
      <c r="M45" t="n">
        <v>0</v>
      </c>
      <c r="N45" t="inlineStr">
        <is>
          <t>No</t>
        </is>
      </c>
      <c r="O45" s="4" t="n">
        <v>42120</v>
      </c>
      <c r="P45" s="4" t="n">
        <v>75975</v>
      </c>
      <c r="Q45" s="4" t="n">
        <v>33855</v>
      </c>
      <c r="R45" s="5" t="n">
        <v>1.8</v>
      </c>
      <c r="S45" s="3" t="n">
        <v>80</v>
      </c>
      <c r="T45" s="3" t="n">
        <v>103.6</v>
      </c>
      <c r="U45" s="4">
        <f>J45-P45</f>
        <v>12819</v>
      </c>
      <c r="V45" s="5">
        <f>ROUND(J45/P45,3)</f>
        <v>1.169</v>
      </c>
      <c r="W45" s="4">
        <f>ROUND(J45/(T45/100),0)</f>
        <v>85708</v>
      </c>
      <c r="X45" s="5">
        <f>ROUND(J45/(I45*4),3)</f>
        <v>0.38</v>
      </c>
      <c r="Y45" s="5">
        <f>ROUND(J45/(H45*4),3)</f>
        <v>0.38</v>
      </c>
      <c r="Z45" t="str">
        <f>IF(J45&gt;P45,"Yes","No")</f>
        <v>Yes</v>
      </c>
      <c r="AA45" s="6">
        <f>RANK(V45,V$2:V$201,0)</f>
        <v>41</v>
      </c>
      <c r="AB45" s="6">
        <f>RANK(W45,W$2:W$201,0)</f>
        <v>30</v>
      </c>
      <c r="AC45" s="3">
        <f>ROUND(L45/J45*100,1)</f>
        <v>29.3</v>
      </c>
      <c r="AD45" s="5">
        <f>ROUND(M45/G45*10000,2)</f>
        <v>0</v>
      </c>
      <c r="AE45" t="inlineStr">
        <is>
          <t>College Scorecard (US Dept. of Education); Nobel Prize API; NCAA; state columns: US Census, Bureau of Economic Analysis</t>
        </is>
      </c>
    </row>
    <row r="46">
      <c r="A46" t="inlineStr">
        <is>
          <t>William &amp; Mary</t>
        </is>
      </c>
      <c r="B46" t="inlineStr">
        <is>
          <t>VA</t>
        </is>
      </c>
      <c r="C46" t="inlineStr">
        <is>
          <t>Virginia</t>
        </is>
      </c>
      <c r="D46" t="inlineStr">
        <is>
          <t>Williamsburg</t>
        </is>
      </c>
      <c r="E46" s="3" t="n">
        <v>34.1</v>
      </c>
      <c r="F46" t="n">
        <v>1473</v>
      </c>
      <c r="G46" t="n">
        <v>7055</v>
      </c>
      <c r="H46" s="4" t="n">
        <v>25914</v>
      </c>
      <c r="I46" s="4" t="n">
        <v>51038</v>
      </c>
      <c r="J46" s="4" t="n">
        <v>73490</v>
      </c>
      <c r="K46" s="3" t="n">
        <v>90.2</v>
      </c>
      <c r="L46" s="4" t="n">
        <v>18500</v>
      </c>
      <c r="M46" t="n">
        <v>0</v>
      </c>
      <c r="N46" t="inlineStr">
        <is>
          <t>No</t>
        </is>
      </c>
      <c r="O46" s="4" t="n">
        <v>41061</v>
      </c>
      <c r="P46" s="4" t="n">
        <v>74468</v>
      </c>
      <c r="Q46" s="4" t="n">
        <v>33407</v>
      </c>
      <c r="R46" s="5" t="n">
        <v>1.81</v>
      </c>
      <c r="S46" s="3" t="n">
        <v>81</v>
      </c>
      <c r="T46" s="3" t="n">
        <v>101.1</v>
      </c>
      <c r="U46" s="4">
        <f>J46-P46</f>
        <v>-978</v>
      </c>
      <c r="V46" s="5">
        <f>ROUND(J46/P46,3)</f>
        <v>0.987</v>
      </c>
      <c r="W46" s="4">
        <f>ROUND(J46/(T46/100),0)</f>
        <v>72690</v>
      </c>
      <c r="X46" s="5">
        <f>ROUND(J46/(I46*4),3)</f>
        <v>0.36</v>
      </c>
      <c r="Y46" s="5">
        <f>ROUND(J46/(H46*4),3)</f>
        <v>0.709</v>
      </c>
      <c r="Z46" t="str">
        <f>IF(J46&gt;P46,"Yes","No")</f>
        <v>No</v>
      </c>
      <c r="AA46" s="6">
        <f>RANK(V46,V$2:V$201,0)</f>
        <v>105</v>
      </c>
      <c r="AB46" s="6">
        <f>RANK(W46,W$2:W$201,0)</f>
        <v>74</v>
      </c>
      <c r="AC46" s="3">
        <f>ROUND(L46/J46*100,1)</f>
        <v>25.2</v>
      </c>
      <c r="AD46" s="5">
        <f>ROUND(M46/G46*10000,2)</f>
        <v>0</v>
      </c>
      <c r="AE46" t="inlineStr">
        <is>
          <t>College Scorecard (US Dept. of Education); Nobel Prize API; NCAA; state columns: US Census, Bureau of Economic Analysis</t>
        </is>
      </c>
    </row>
    <row r="47">
      <c r="A47" t="inlineStr">
        <is>
          <t>Southern University and A &amp; M College</t>
        </is>
      </c>
      <c r="B47" t="inlineStr">
        <is>
          <t>LA</t>
        </is>
      </c>
      <c r="C47" t="inlineStr">
        <is>
          <t>Louisiana</t>
        </is>
      </c>
      <c r="D47" t="inlineStr">
        <is>
          <t>Baton Rouge</t>
        </is>
      </c>
      <c r="E47" s="3" t="n">
        <v>35.1</v>
      </c>
      <c r="F47" t="n">
        <v>942</v>
      </c>
      <c r="G47" t="n">
        <v>5519</v>
      </c>
      <c r="H47" s="4" t="n">
        <v>9922</v>
      </c>
      <c r="I47" s="4" t="n">
        <v>17272</v>
      </c>
      <c r="J47" s="4" t="n">
        <v>43371</v>
      </c>
      <c r="K47" s="3" t="n">
        <v>27.7</v>
      </c>
      <c r="L47" s="4" t="n">
        <v>29251</v>
      </c>
      <c r="M47" t="n">
        <v>0</v>
      </c>
      <c r="N47" t="inlineStr">
        <is>
          <t>No</t>
        </is>
      </c>
      <c r="O47" s="4" t="n">
        <v>36132</v>
      </c>
      <c r="P47" s="4" t="n">
        <v>57107</v>
      </c>
      <c r="Q47" s="4" t="n">
        <v>20975</v>
      </c>
      <c r="R47" s="5" t="n">
        <v>1.58</v>
      </c>
      <c r="S47" s="3" t="n">
        <v>58</v>
      </c>
      <c r="T47" s="3" t="n">
        <v>88.2</v>
      </c>
      <c r="U47" s="4">
        <f>J47-P47</f>
        <v>-13736</v>
      </c>
      <c r="V47" s="5">
        <f>ROUND(J47/P47,3)</f>
        <v>0.759</v>
      </c>
      <c r="W47" s="4">
        <f>ROUND(J47/(T47/100),0)</f>
        <v>49173</v>
      </c>
      <c r="X47" s="5">
        <f>ROUND(J47/(I47*4),3)</f>
        <v>0.628</v>
      </c>
      <c r="Y47" s="5">
        <f>ROUND(J47/(H47*4),3)</f>
        <v>1.093</v>
      </c>
      <c r="Z47" t="str">
        <f>IF(J47&gt;P47,"Yes","No")</f>
        <v>No</v>
      </c>
      <c r="AA47" s="6">
        <f>RANK(V47,V$2:V$201,0)</f>
        <v>182</v>
      </c>
      <c r="AB47" s="6">
        <f>RANK(W47,W$2:W$201,0)</f>
        <v>188</v>
      </c>
      <c r="AC47" s="3">
        <f>ROUND(L47/J47*100,1)</f>
        <v>67.40000000000001</v>
      </c>
      <c r="AD47" s="5">
        <f>ROUND(M47/G47*10000,2)</f>
        <v>0</v>
      </c>
      <c r="AE47" t="inlineStr">
        <is>
          <t>College Scorecard (US Dept. of Education); Nobel Prize API; NCAA; state columns: US Census, Bureau of Economic Analysis</t>
        </is>
      </c>
    </row>
    <row r="48">
      <c r="A48" t="inlineStr">
        <is>
          <t>San Diego State University</t>
        </is>
      </c>
      <c r="B48" t="inlineStr">
        <is>
          <t>CA</t>
        </is>
      </c>
      <c r="C48" t="inlineStr">
        <is>
          <t>California</t>
        </is>
      </c>
      <c r="D48" t="inlineStr">
        <is>
          <t>San Diego</t>
        </is>
      </c>
      <c r="E48" s="3" t="n">
        <v>36.2</v>
      </c>
      <c r="G48" t="n">
        <v>35377</v>
      </c>
      <c r="H48" s="4" t="n">
        <v>8728</v>
      </c>
      <c r="I48" s="4" t="n">
        <v>21328</v>
      </c>
      <c r="J48" s="4" t="n">
        <v>64909</v>
      </c>
      <c r="K48" s="3" t="n">
        <v>77.3</v>
      </c>
      <c r="L48" s="4" t="n">
        <v>15000</v>
      </c>
      <c r="M48" t="n">
        <v>0</v>
      </c>
      <c r="N48" t="inlineStr">
        <is>
          <t>No</t>
        </is>
      </c>
      <c r="O48" s="4" t="n">
        <v>40803</v>
      </c>
      <c r="P48" s="4" t="n">
        <v>78278</v>
      </c>
      <c r="Q48" s="4" t="n">
        <v>37475</v>
      </c>
      <c r="R48" s="5" t="n">
        <v>1.92</v>
      </c>
      <c r="S48" s="3" t="n">
        <v>92</v>
      </c>
      <c r="T48" s="3" t="n">
        <v>110.7</v>
      </c>
      <c r="U48" s="4">
        <f>J48-P48</f>
        <v>-13369</v>
      </c>
      <c r="V48" s="5">
        <f>ROUND(J48/P48,3)</f>
        <v>0.829</v>
      </c>
      <c r="W48" s="4">
        <f>ROUND(J48/(T48/100),0)</f>
        <v>58635</v>
      </c>
      <c r="X48" s="5">
        <f>ROUND(J48/(I48*4),3)</f>
        <v>0.761</v>
      </c>
      <c r="Y48" s="5">
        <f>ROUND(J48/(H48*4),3)</f>
        <v>1.859</v>
      </c>
      <c r="Z48" t="str">
        <f>IF(J48&gt;P48,"Yes","No")</f>
        <v>No</v>
      </c>
      <c r="AA48" s="6">
        <f>RANK(V48,V$2:V$201,0)</f>
        <v>158</v>
      </c>
      <c r="AB48" s="6">
        <f>RANK(W48,W$2:W$201,0)</f>
        <v>142</v>
      </c>
      <c r="AC48" s="3">
        <f>ROUND(L48/J48*100,1)</f>
        <v>23.1</v>
      </c>
      <c r="AD48" s="5">
        <f>ROUND(M48/G48*10000,2)</f>
        <v>0</v>
      </c>
      <c r="AE48" t="inlineStr">
        <is>
          <t>College Scorecard (US Dept. of Education); Nobel Prize API; NCAA; state columns: US Census, Bureau of Economic Analysis</t>
        </is>
      </c>
    </row>
    <row r="49">
      <c r="A49" t="inlineStr">
        <is>
          <t>Case Western Reserve University</t>
        </is>
      </c>
      <c r="B49" t="inlineStr">
        <is>
          <t>OH</t>
        </is>
      </c>
      <c r="C49" t="inlineStr">
        <is>
          <t>Ohio</t>
        </is>
      </c>
      <c r="D49" t="inlineStr">
        <is>
          <t>Cleveland</t>
        </is>
      </c>
      <c r="E49" s="3" t="n">
        <v>36.5</v>
      </c>
      <c r="F49" t="n">
        <v>1513</v>
      </c>
      <c r="G49" t="n">
        <v>6437</v>
      </c>
      <c r="H49" s="4" t="n">
        <v>66608</v>
      </c>
      <c r="I49" s="4" t="n">
        <v>66608</v>
      </c>
      <c r="J49" s="4" t="n">
        <v>87989</v>
      </c>
      <c r="K49" s="3" t="n">
        <v>87.09999999999999</v>
      </c>
      <c r="L49" s="4" t="n">
        <v>24000</v>
      </c>
      <c r="M49" t="n">
        <v>0</v>
      </c>
      <c r="N49" t="inlineStr">
        <is>
          <t>No</t>
        </is>
      </c>
      <c r="O49" s="4" t="n">
        <v>37990</v>
      </c>
      <c r="P49" s="4" t="n">
        <v>64933</v>
      </c>
      <c r="Q49" s="4" t="n">
        <v>26943</v>
      </c>
      <c r="R49" s="5" t="n">
        <v>1.71</v>
      </c>
      <c r="S49" s="3" t="n">
        <v>71</v>
      </c>
      <c r="T49" s="3" t="n">
        <v>92.8</v>
      </c>
      <c r="U49" s="4">
        <f>J49-P49</f>
        <v>23056</v>
      </c>
      <c r="V49" s="5">
        <f>ROUND(J49/P49,3)</f>
        <v>1.355</v>
      </c>
      <c r="W49" s="4">
        <f>ROUND(J49/(T49/100),0)</f>
        <v>94816</v>
      </c>
      <c r="X49" s="5">
        <f>ROUND(J49/(I49*4),3)</f>
        <v>0.33</v>
      </c>
      <c r="Y49" s="5">
        <f>ROUND(J49/(H49*4),3)</f>
        <v>0.33</v>
      </c>
      <c r="Z49" t="str">
        <f>IF(J49&gt;P49,"Yes","No")</f>
        <v>Yes</v>
      </c>
      <c r="AA49" s="6">
        <f>RANK(V49,V$2:V$201,0)</f>
        <v>20</v>
      </c>
      <c r="AB49" s="6">
        <f>RANK(W49,W$2:W$201,0)</f>
        <v>19</v>
      </c>
      <c r="AC49" s="3">
        <f>ROUND(L49/J49*100,1)</f>
        <v>27.3</v>
      </c>
      <c r="AD49" s="5">
        <f>ROUND(M49/G49*10000,2)</f>
        <v>0</v>
      </c>
      <c r="AE49" t="inlineStr">
        <is>
          <t>College Scorecard (US Dept. of Education); Nobel Prize API; NCAA; state columns: US Census, Bureau of Economic Analysis</t>
        </is>
      </c>
    </row>
    <row r="50">
      <c r="A50" t="inlineStr">
        <is>
          <t>University of Georgia</t>
        </is>
      </c>
      <c r="B50" t="inlineStr">
        <is>
          <t>GA</t>
        </is>
      </c>
      <c r="C50" t="inlineStr">
        <is>
          <t>Georgia</t>
        </is>
      </c>
      <c r="D50" t="inlineStr">
        <is>
          <t>Athens</t>
        </is>
      </c>
      <c r="E50" s="3" t="n">
        <v>37.7</v>
      </c>
      <c r="F50" t="n">
        <v>1397</v>
      </c>
      <c r="G50" t="n">
        <v>32137</v>
      </c>
      <c r="H50" s="4" t="n">
        <v>11450</v>
      </c>
      <c r="I50" s="4" t="n">
        <v>31688</v>
      </c>
      <c r="J50" s="4" t="n">
        <v>68726</v>
      </c>
      <c r="K50" s="3" t="n">
        <v>88.90000000000001</v>
      </c>
      <c r="L50" s="4" t="n">
        <v>18500</v>
      </c>
      <c r="M50" t="n">
        <v>0</v>
      </c>
      <c r="N50" t="inlineStr">
        <is>
          <t>Yes</t>
        </is>
      </c>
      <c r="O50" s="4" t="n">
        <v>36820</v>
      </c>
      <c r="P50" s="4" t="n">
        <v>64185</v>
      </c>
      <c r="Q50" s="4" t="n">
        <v>27365</v>
      </c>
      <c r="R50" s="5" t="n">
        <v>1.74</v>
      </c>
      <c r="S50" s="3" t="n">
        <v>74</v>
      </c>
      <c r="T50" s="3" t="n">
        <v>96.3</v>
      </c>
      <c r="U50" s="4">
        <f>J50-P50</f>
        <v>4541</v>
      </c>
      <c r="V50" s="5">
        <f>ROUND(J50/P50,3)</f>
        <v>1.071</v>
      </c>
      <c r="W50" s="4">
        <f>ROUND(J50/(T50/100),0)</f>
        <v>71367</v>
      </c>
      <c r="X50" s="5">
        <f>ROUND(J50/(I50*4),3)</f>
        <v>0.542</v>
      </c>
      <c r="Y50" s="5">
        <f>ROUND(J50/(H50*4),3)</f>
        <v>1.501</v>
      </c>
      <c r="Z50" t="str">
        <f>IF(J50&gt;P50,"Yes","No")</f>
        <v>Yes</v>
      </c>
      <c r="AA50" s="6">
        <f>RANK(V50,V$2:V$201,0)</f>
        <v>71</v>
      </c>
      <c r="AB50" s="6">
        <f>RANK(W50,W$2:W$201,0)</f>
        <v>81</v>
      </c>
      <c r="AC50" s="3">
        <f>ROUND(L50/J50*100,1)</f>
        <v>26.9</v>
      </c>
      <c r="AD50" s="5">
        <f>ROUND(M50/G50*10000,2)</f>
        <v>0</v>
      </c>
      <c r="AE50" t="inlineStr">
        <is>
          <t>College Scorecard (US Dept. of Education); Nobel Prize API; NCAA; state columns: US Census, Bureau of Economic Analysis</t>
        </is>
      </c>
    </row>
    <row r="51">
      <c r="A51" t="inlineStr">
        <is>
          <t>Clemson University</t>
        </is>
      </c>
      <c r="B51" t="inlineStr">
        <is>
          <t>SC</t>
        </is>
      </c>
      <c r="C51" t="inlineStr">
        <is>
          <t>South Carolina</t>
        </is>
      </c>
      <c r="D51" t="inlineStr">
        <is>
          <t>Clemson</t>
        </is>
      </c>
      <c r="E51" s="3" t="n">
        <v>38.3</v>
      </c>
      <c r="F51" t="n">
        <v>1353</v>
      </c>
      <c r="G51" t="n">
        <v>23300</v>
      </c>
      <c r="H51" s="4" t="n">
        <v>15554</v>
      </c>
      <c r="I51" s="4" t="n">
        <v>40866</v>
      </c>
      <c r="J51" s="4" t="n">
        <v>71513</v>
      </c>
      <c r="K51" s="3" t="n">
        <v>87.2</v>
      </c>
      <c r="L51" s="4" t="n">
        <v>21500</v>
      </c>
      <c r="M51" t="n">
        <v>0</v>
      </c>
      <c r="N51" t="inlineStr">
        <is>
          <t>Yes</t>
        </is>
      </c>
      <c r="O51" s="4" t="n">
        <v>36740</v>
      </c>
      <c r="P51" s="4" t="n">
        <v>60590</v>
      </c>
      <c r="Q51" s="4" t="n">
        <v>23850</v>
      </c>
      <c r="R51" s="5" t="n">
        <v>1.65</v>
      </c>
      <c r="S51" s="3" t="n">
        <v>65</v>
      </c>
      <c r="T51" s="3" t="n">
        <v>93.7</v>
      </c>
      <c r="U51" s="4">
        <f>J51-P51</f>
        <v>10923</v>
      </c>
      <c r="V51" s="5">
        <f>ROUND(J51/P51,3)</f>
        <v>1.18</v>
      </c>
      <c r="W51" s="4">
        <f>ROUND(J51/(T51/100),0)</f>
        <v>76321</v>
      </c>
      <c r="X51" s="5">
        <f>ROUND(J51/(I51*4),3)</f>
        <v>0.437</v>
      </c>
      <c r="Y51" s="5">
        <f>ROUND(J51/(H51*4),3)</f>
        <v>1.149</v>
      </c>
      <c r="Z51" t="str">
        <f>IF(J51&gt;P51,"Yes","No")</f>
        <v>Yes</v>
      </c>
      <c r="AA51" s="6">
        <f>RANK(V51,V$2:V$201,0)</f>
        <v>39</v>
      </c>
      <c r="AB51" s="6">
        <f>RANK(W51,W$2:W$201,0)</f>
        <v>61</v>
      </c>
      <c r="AC51" s="3">
        <f>ROUND(L51/J51*100,1)</f>
        <v>30.1</v>
      </c>
      <c r="AD51" s="5">
        <f>ROUND(M51/G51*10000,2)</f>
        <v>0</v>
      </c>
      <c r="AE51" t="inlineStr">
        <is>
          <t>College Scorecard (US Dept. of Education); Nobel Prize API; NCAA; state columns: US Census, Bureau of Economic Analysis</t>
        </is>
      </c>
    </row>
    <row r="52">
      <c r="A52" t="inlineStr">
        <is>
          <t>Binghamton University</t>
        </is>
      </c>
      <c r="B52" t="inlineStr">
        <is>
          <t>NY</t>
        </is>
      </c>
      <c r="C52" t="inlineStr">
        <is>
          <t>New York</t>
        </is>
      </c>
      <c r="D52" t="inlineStr">
        <is>
          <t>Vestal</t>
        </is>
      </c>
      <c r="E52" s="3" t="n">
        <v>38.6</v>
      </c>
      <c r="F52" t="n">
        <v>1415</v>
      </c>
      <c r="G52" t="n">
        <v>14655</v>
      </c>
      <c r="H52" s="4" t="n">
        <v>10567</v>
      </c>
      <c r="I52" s="4" t="n">
        <v>30447</v>
      </c>
      <c r="J52" s="4" t="n">
        <v>80596</v>
      </c>
      <c r="K52" s="3" t="n">
        <v>82.59999999999999</v>
      </c>
      <c r="L52" s="4" t="n">
        <v>18500</v>
      </c>
      <c r="M52" t="n">
        <v>0</v>
      </c>
      <c r="N52" t="inlineStr">
        <is>
          <t>No</t>
        </is>
      </c>
      <c r="O52" s="4" t="n">
        <v>39771</v>
      </c>
      <c r="P52" s="4" t="n">
        <v>74504</v>
      </c>
      <c r="Q52" s="4" t="n">
        <v>34733</v>
      </c>
      <c r="R52" s="5" t="n">
        <v>1.87</v>
      </c>
      <c r="S52" s="3" t="n">
        <v>87</v>
      </c>
      <c r="T52" s="3" t="n">
        <v>107.9</v>
      </c>
      <c r="U52" s="4">
        <f>J52-P52</f>
        <v>6092</v>
      </c>
      <c r="V52" s="5">
        <f>ROUND(J52/P52,3)</f>
        <v>1.082</v>
      </c>
      <c r="W52" s="4">
        <f>ROUND(J52/(T52/100),0)</f>
        <v>74695</v>
      </c>
      <c r="X52" s="5">
        <f>ROUND(J52/(I52*4),3)</f>
        <v>0.662</v>
      </c>
      <c r="Y52" s="5">
        <f>ROUND(J52/(H52*4),3)</f>
        <v>1.907</v>
      </c>
      <c r="Z52" t="str">
        <f>IF(J52&gt;P52,"Yes","No")</f>
        <v>Yes</v>
      </c>
      <c r="AA52" s="6">
        <f>RANK(V52,V$2:V$201,0)</f>
        <v>67</v>
      </c>
      <c r="AB52" s="6">
        <f>RANK(W52,W$2:W$201,0)</f>
        <v>62</v>
      </c>
      <c r="AC52" s="3">
        <f>ROUND(L52/J52*100,1)</f>
        <v>23</v>
      </c>
      <c r="AD52" s="5">
        <f>ROUND(M52/G52*10000,2)</f>
        <v>0</v>
      </c>
      <c r="AE52" t="inlineStr">
        <is>
          <t>College Scorecard (US Dept. of Education); Nobel Prize API; NCAA; state columns: US Census, Bureau of Economic Analysis</t>
        </is>
      </c>
    </row>
    <row r="53">
      <c r="A53" t="inlineStr">
        <is>
          <t>University of Washington-Seattle Campus</t>
        </is>
      </c>
      <c r="B53" t="inlineStr">
        <is>
          <t>WA</t>
        </is>
      </c>
      <c r="C53" t="inlineStr">
        <is>
          <t>Washington</t>
        </is>
      </c>
      <c r="D53" t="inlineStr">
        <is>
          <t>Seattle</t>
        </is>
      </c>
      <c r="E53" s="3" t="n">
        <v>39.1</v>
      </c>
      <c r="G53" t="n">
        <v>31942</v>
      </c>
      <c r="H53" s="4" t="n">
        <v>12973</v>
      </c>
      <c r="I53" s="4" t="n">
        <v>43209</v>
      </c>
      <c r="J53" s="4" t="n">
        <v>78466</v>
      </c>
      <c r="K53" s="3" t="n">
        <v>84.5</v>
      </c>
      <c r="L53" s="4" t="n">
        <v>14615</v>
      </c>
      <c r="M53" t="n">
        <v>0</v>
      </c>
      <c r="N53" t="inlineStr">
        <is>
          <t>No</t>
        </is>
      </c>
      <c r="O53" s="4" t="n">
        <v>44866</v>
      </c>
      <c r="P53" s="4" t="n">
        <v>78485</v>
      </c>
      <c r="Q53" s="4" t="n">
        <v>33619</v>
      </c>
      <c r="R53" s="5" t="n">
        <v>1.75</v>
      </c>
      <c r="S53" s="3" t="n">
        <v>75</v>
      </c>
      <c r="T53" s="3" t="n">
        <v>107</v>
      </c>
      <c r="U53" s="4">
        <f>J53-P53</f>
        <v>-19</v>
      </c>
      <c r="V53" s="5">
        <f>ROUND(J53/P53,3)</f>
        <v>1</v>
      </c>
      <c r="W53" s="4">
        <f>ROUND(J53/(T53/100),0)</f>
        <v>73333</v>
      </c>
      <c r="X53" s="5">
        <f>ROUND(J53/(I53*4),3)</f>
        <v>0.454</v>
      </c>
      <c r="Y53" s="5">
        <f>ROUND(J53/(H53*4),3)</f>
        <v>1.512</v>
      </c>
      <c r="Z53" t="str">
        <f>IF(J53&gt;P53,"Yes","No")</f>
        <v>No</v>
      </c>
      <c r="AA53" s="6">
        <f>RANK(V53,V$2:V$201,0)</f>
        <v>99</v>
      </c>
      <c r="AB53" s="6">
        <f>RANK(W53,W$2:W$201,0)</f>
        <v>67</v>
      </c>
      <c r="AC53" s="3">
        <f>ROUND(L53/J53*100,1)</f>
        <v>18.6</v>
      </c>
      <c r="AD53" s="5">
        <f>ROUND(M53/G53*10000,2)</f>
        <v>0</v>
      </c>
      <c r="AE53" t="inlineStr">
        <is>
          <t>College Scorecard (US Dept. of Education); Nobel Prize API; NCAA; state columns: US Census, Bureau of Economic Analysis</t>
        </is>
      </c>
    </row>
    <row r="54">
      <c r="A54" t="inlineStr">
        <is>
          <t>University of Rochester</t>
        </is>
      </c>
      <c r="B54" t="inlineStr">
        <is>
          <t>NY</t>
        </is>
      </c>
      <c r="C54" t="inlineStr">
        <is>
          <t>New York</t>
        </is>
      </c>
      <c r="D54" t="inlineStr">
        <is>
          <t>Rochester</t>
        </is>
      </c>
      <c r="E54" s="3" t="n">
        <v>40.1</v>
      </c>
      <c r="F54" t="n">
        <v>1488</v>
      </c>
      <c r="G54" t="n">
        <v>6331</v>
      </c>
      <c r="H54" s="4" t="n">
        <v>67080</v>
      </c>
      <c r="I54" s="4" t="n">
        <v>67080</v>
      </c>
      <c r="J54" s="4" t="n">
        <v>79042</v>
      </c>
      <c r="K54" s="3" t="n">
        <v>85</v>
      </c>
      <c r="L54" s="4" t="n">
        <v>21000</v>
      </c>
      <c r="M54" t="n">
        <v>1</v>
      </c>
      <c r="N54" t="inlineStr">
        <is>
          <t>No</t>
        </is>
      </c>
      <c r="O54" s="4" t="n">
        <v>39771</v>
      </c>
      <c r="P54" s="4" t="n">
        <v>74504</v>
      </c>
      <c r="Q54" s="4" t="n">
        <v>34733</v>
      </c>
      <c r="R54" s="5" t="n">
        <v>1.87</v>
      </c>
      <c r="S54" s="3" t="n">
        <v>87</v>
      </c>
      <c r="T54" s="3" t="n">
        <v>107.9</v>
      </c>
      <c r="U54" s="4">
        <f>J54-P54</f>
        <v>4538</v>
      </c>
      <c r="V54" s="5">
        <f>ROUND(J54/P54,3)</f>
        <v>1.061</v>
      </c>
      <c r="W54" s="4">
        <f>ROUND(J54/(T54/100),0)</f>
        <v>73255</v>
      </c>
      <c r="X54" s="5">
        <f>ROUND(J54/(I54*4),3)</f>
        <v>0.295</v>
      </c>
      <c r="Y54" s="5">
        <f>ROUND(J54/(H54*4),3)</f>
        <v>0.295</v>
      </c>
      <c r="Z54" t="str">
        <f>IF(J54&gt;P54,"Yes","No")</f>
        <v>Yes</v>
      </c>
      <c r="AA54" s="6">
        <f>RANK(V54,V$2:V$201,0)</f>
        <v>74</v>
      </c>
      <c r="AB54" s="6">
        <f>RANK(W54,W$2:W$201,0)</f>
        <v>68</v>
      </c>
      <c r="AC54" s="3">
        <f>ROUND(L54/J54*100,1)</f>
        <v>26.6</v>
      </c>
      <c r="AD54" s="5">
        <f>ROUND(M54/G54*10000,2)</f>
        <v>1.58</v>
      </c>
      <c r="AE54" t="inlineStr">
        <is>
          <t>College Scorecard (US Dept. of Education); Nobel Prize API; NCAA; state columns: US Census, Bureau of Economic Analysis</t>
        </is>
      </c>
    </row>
    <row r="55">
      <c r="A55" t="inlineStr">
        <is>
          <t>University of Central Florida</t>
        </is>
      </c>
      <c r="B55" t="inlineStr">
        <is>
          <t>FL</t>
        </is>
      </c>
      <c r="C55" t="inlineStr">
        <is>
          <t>Florida</t>
        </is>
      </c>
      <c r="D55" t="inlineStr">
        <is>
          <t>Orlando</t>
        </is>
      </c>
      <c r="E55" s="3" t="n">
        <v>40.1</v>
      </c>
      <c r="F55" t="n">
        <v>1269</v>
      </c>
      <c r="G55" t="n">
        <v>59146</v>
      </c>
      <c r="H55" s="4" t="n">
        <v>6368</v>
      </c>
      <c r="I55" s="4" t="n">
        <v>22467</v>
      </c>
      <c r="J55" s="4" t="n">
        <v>58308</v>
      </c>
      <c r="K55" s="3" t="n">
        <v>76.59999999999999</v>
      </c>
      <c r="L55" s="4" t="n">
        <v>18190</v>
      </c>
      <c r="M55" t="n">
        <v>0</v>
      </c>
      <c r="N55" t="inlineStr">
        <is>
          <t>Yes</t>
        </is>
      </c>
      <c r="O55" s="4" t="n">
        <v>36384</v>
      </c>
      <c r="P55" s="4" t="n">
        <v>58009</v>
      </c>
      <c r="Q55" s="4" t="n">
        <v>21625</v>
      </c>
      <c r="R55" s="5" t="n">
        <v>1.59</v>
      </c>
      <c r="S55" s="3" t="n">
        <v>59</v>
      </c>
      <c r="T55" s="3" t="n">
        <v>103.4</v>
      </c>
      <c r="U55" s="4">
        <f>J55-P55</f>
        <v>299</v>
      </c>
      <c r="V55" s="5">
        <f>ROUND(J55/P55,3)</f>
        <v>1.005</v>
      </c>
      <c r="W55" s="4">
        <f>ROUND(J55/(T55/100),0)</f>
        <v>56391</v>
      </c>
      <c r="X55" s="5">
        <f>ROUND(J55/(I55*4),3)</f>
        <v>0.649</v>
      </c>
      <c r="Y55" s="5">
        <f>ROUND(J55/(H55*4),3)</f>
        <v>2.289</v>
      </c>
      <c r="Z55" t="str">
        <f>IF(J55&gt;P55,"Yes","No")</f>
        <v>Yes</v>
      </c>
      <c r="AA55" s="6">
        <f>RANK(V55,V$2:V$201,0)</f>
        <v>97</v>
      </c>
      <c r="AB55" s="6">
        <f>RANK(W55,W$2:W$201,0)</f>
        <v>156</v>
      </c>
      <c r="AC55" s="3">
        <f>ROUND(L55/J55*100,1)</f>
        <v>31.2</v>
      </c>
      <c r="AD55" s="5">
        <f>ROUND(M55/G55*10000,2)</f>
        <v>0</v>
      </c>
      <c r="AE55" t="inlineStr">
        <is>
          <t>College Scorecard (US Dept. of Education); Nobel Prize API; NCAA; state columns: US Census, Bureau of Economic Analysis</t>
        </is>
      </c>
    </row>
    <row r="56">
      <c r="A56" t="inlineStr">
        <is>
          <t>The University of Tampa</t>
        </is>
      </c>
      <c r="B56" t="inlineStr">
        <is>
          <t>FL</t>
        </is>
      </c>
      <c r="C56" t="inlineStr">
        <is>
          <t>Florida</t>
        </is>
      </c>
      <c r="D56" t="inlineStr">
        <is>
          <t>Tampa</t>
        </is>
      </c>
      <c r="E56" s="3" t="n">
        <v>40.3</v>
      </c>
      <c r="G56" t="n">
        <v>10572</v>
      </c>
      <c r="H56" s="4" t="n">
        <v>34408</v>
      </c>
      <c r="I56" s="4" t="n">
        <v>34408</v>
      </c>
      <c r="J56" s="4" t="n">
        <v>59436</v>
      </c>
      <c r="K56" s="3" t="n">
        <v>62.8</v>
      </c>
      <c r="L56" s="4" t="n">
        <v>24211</v>
      </c>
      <c r="M56" t="n">
        <v>0</v>
      </c>
      <c r="N56" t="inlineStr">
        <is>
          <t>No</t>
        </is>
      </c>
      <c r="O56" s="4" t="n">
        <v>36384</v>
      </c>
      <c r="P56" s="4" t="n">
        <v>58009</v>
      </c>
      <c r="Q56" s="4" t="n">
        <v>21625</v>
      </c>
      <c r="R56" s="5" t="n">
        <v>1.59</v>
      </c>
      <c r="S56" s="3" t="n">
        <v>59</v>
      </c>
      <c r="T56" s="3" t="n">
        <v>103.4</v>
      </c>
      <c r="U56" s="4">
        <f>J56-P56</f>
        <v>1427</v>
      </c>
      <c r="V56" s="5">
        <f>ROUND(J56/P56,3)</f>
        <v>1.025</v>
      </c>
      <c r="W56" s="4">
        <f>ROUND(J56/(T56/100),0)</f>
        <v>57482</v>
      </c>
      <c r="X56" s="5">
        <f>ROUND(J56/(I56*4),3)</f>
        <v>0.432</v>
      </c>
      <c r="Y56" s="5">
        <f>ROUND(J56/(H56*4),3)</f>
        <v>0.432</v>
      </c>
      <c r="Z56" t="str">
        <f>IF(J56&gt;P56,"Yes","No")</f>
        <v>Yes</v>
      </c>
      <c r="AA56" s="6">
        <f>RANK(V56,V$2:V$201,0)</f>
        <v>91</v>
      </c>
      <c r="AB56" s="6">
        <f>RANK(W56,W$2:W$201,0)</f>
        <v>151</v>
      </c>
      <c r="AC56" s="3">
        <f>ROUND(L56/J56*100,1)</f>
        <v>40.7</v>
      </c>
      <c r="AD56" s="5">
        <f>ROUND(M56/G56*10000,2)</f>
        <v>0</v>
      </c>
      <c r="AE56" t="inlineStr">
        <is>
          <t>College Scorecard (US Dept. of Education); Nobel Prize API; NCAA; state columns: US Census, Bureau of Economic Analysis</t>
        </is>
      </c>
    </row>
    <row r="57">
      <c r="A57" t="inlineStr">
        <is>
          <t>Howard University</t>
        </is>
      </c>
      <c r="B57" t="inlineStr">
        <is>
          <t>DC</t>
        </is>
      </c>
      <c r="C57" t="inlineStr">
        <is>
          <t>District of Columbia</t>
        </is>
      </c>
      <c r="D57" t="inlineStr">
        <is>
          <t>Washington</t>
        </is>
      </c>
      <c r="E57" s="3" t="n">
        <v>41.3</v>
      </c>
      <c r="F57" t="n">
        <v>1213</v>
      </c>
      <c r="G57" t="n">
        <v>10108</v>
      </c>
      <c r="H57" s="4" t="n">
        <v>35810</v>
      </c>
      <c r="I57" s="4" t="n">
        <v>35810</v>
      </c>
      <c r="J57" s="4" t="n">
        <v>63066</v>
      </c>
      <c r="K57" s="3" t="n">
        <v>69.3</v>
      </c>
      <c r="L57" s="4" t="n">
        <v>24500</v>
      </c>
      <c r="M57" t="n">
        <v>0</v>
      </c>
      <c r="N57" t="inlineStr">
        <is>
          <t>Yes</t>
        </is>
      </c>
      <c r="O57" s="4" t="n">
        <v>40715</v>
      </c>
      <c r="P57" s="4" t="n">
        <v>95628</v>
      </c>
      <c r="Q57" s="4" t="n">
        <v>54913</v>
      </c>
      <c r="R57" s="5" t="n">
        <v>2.35</v>
      </c>
      <c r="S57" s="3" t="n">
        <v>135</v>
      </c>
      <c r="T57" s="3" t="n">
        <v>109.9</v>
      </c>
      <c r="U57" s="4">
        <f>J57-P57</f>
        <v>-32562</v>
      </c>
      <c r="V57" s="5">
        <f>ROUND(J57/P57,3)</f>
        <v>0.659</v>
      </c>
      <c r="W57" s="4">
        <f>ROUND(J57/(T57/100),0)</f>
        <v>57385</v>
      </c>
      <c r="X57" s="5">
        <f>ROUND(J57/(I57*4),3)</f>
        <v>0.44</v>
      </c>
      <c r="Y57" s="5">
        <f>ROUND(J57/(H57*4),3)</f>
        <v>0.44</v>
      </c>
      <c r="Z57" t="str">
        <f>IF(J57&gt;P57,"Yes","No")</f>
        <v>No</v>
      </c>
      <c r="AA57" s="6">
        <f>RANK(V57,V$2:V$201,0)</f>
        <v>197</v>
      </c>
      <c r="AB57" s="6">
        <f>RANK(W57,W$2:W$201,0)</f>
        <v>152</v>
      </c>
      <c r="AC57" s="3">
        <f>ROUND(L57/J57*100,1)</f>
        <v>38.8</v>
      </c>
      <c r="AD57" s="5">
        <f>ROUND(M57/G57*10000,2)</f>
        <v>0</v>
      </c>
      <c r="AE57" t="inlineStr">
        <is>
          <t>College Scorecard (US Dept. of Education); Nobel Prize API; NCAA; state columns: US Census, Bureau of Economic Analysis</t>
        </is>
      </c>
    </row>
    <row r="58">
      <c r="A58" t="inlineStr">
        <is>
          <t>The University of Tennessee-Knoxville</t>
        </is>
      </c>
      <c r="B58" t="inlineStr">
        <is>
          <t>TN</t>
        </is>
      </c>
      <c r="C58" t="inlineStr">
        <is>
          <t>Tennessee</t>
        </is>
      </c>
      <c r="D58" t="inlineStr">
        <is>
          <t>Knoxville</t>
        </is>
      </c>
      <c r="E58" s="3" t="n">
        <v>41.6</v>
      </c>
      <c r="F58" t="n">
        <v>1311</v>
      </c>
      <c r="G58" t="n">
        <v>30418</v>
      </c>
      <c r="H58" s="4" t="n">
        <v>13812</v>
      </c>
      <c r="I58" s="4" t="n">
        <v>33256</v>
      </c>
      <c r="J58" s="4" t="n">
        <v>60249</v>
      </c>
      <c r="K58" s="3" t="n">
        <v>73.7</v>
      </c>
      <c r="L58" s="4" t="n">
        <v>20500</v>
      </c>
      <c r="M58" t="n">
        <v>0</v>
      </c>
      <c r="N58" t="inlineStr">
        <is>
          <t>Yes</t>
        </is>
      </c>
      <c r="O58" s="4" t="n">
        <v>37693</v>
      </c>
      <c r="P58" s="4" t="n">
        <v>61189</v>
      </c>
      <c r="Q58" s="4" t="n">
        <v>23496</v>
      </c>
      <c r="R58" s="5" t="n">
        <v>1.62</v>
      </c>
      <c r="S58" s="3" t="n">
        <v>62</v>
      </c>
      <c r="T58" s="3" t="n">
        <v>91.90000000000001</v>
      </c>
      <c r="U58" s="4">
        <f>J58-P58</f>
        <v>-940</v>
      </c>
      <c r="V58" s="5">
        <f>ROUND(J58/P58,3)</f>
        <v>0.985</v>
      </c>
      <c r="W58" s="4">
        <f>ROUND(J58/(T58/100),0)</f>
        <v>65559</v>
      </c>
      <c r="X58" s="5">
        <f>ROUND(J58/(I58*4),3)</f>
        <v>0.453</v>
      </c>
      <c r="Y58" s="5">
        <f>ROUND(J58/(H58*4),3)</f>
        <v>1.091</v>
      </c>
      <c r="Z58" t="str">
        <f>IF(J58&gt;P58,"Yes","No")</f>
        <v>No</v>
      </c>
      <c r="AA58" s="6">
        <f>RANK(V58,V$2:V$201,0)</f>
        <v>107</v>
      </c>
      <c r="AB58" s="6">
        <f>RANK(W58,W$2:W$201,0)</f>
        <v>110</v>
      </c>
      <c r="AC58" s="3">
        <f>ROUND(L58/J58*100,1)</f>
        <v>34</v>
      </c>
      <c r="AD58" s="5">
        <f>ROUND(M58/G58*10000,2)</f>
        <v>0</v>
      </c>
      <c r="AE58" t="inlineStr">
        <is>
          <t>College Scorecard (US Dept. of Education); Nobel Prize API; NCAA; state columns: US Census, Bureau of Economic Analysis</t>
        </is>
      </c>
    </row>
    <row r="59">
      <c r="A59" t="inlineStr">
        <is>
          <t>North Carolina State University at Raleigh</t>
        </is>
      </c>
      <c r="B59" t="inlineStr">
        <is>
          <t>NC</t>
        </is>
      </c>
      <c r="C59" t="inlineStr">
        <is>
          <t>North Carolina</t>
        </is>
      </c>
      <c r="D59" t="inlineStr">
        <is>
          <t>Raleigh</t>
        </is>
      </c>
      <c r="E59" s="3" t="n">
        <v>41.7</v>
      </c>
      <c r="F59" t="n">
        <v>1376</v>
      </c>
      <c r="G59" t="n">
        <v>27371</v>
      </c>
      <c r="H59" s="4" t="n">
        <v>8799</v>
      </c>
      <c r="I59" s="4" t="n">
        <v>32847</v>
      </c>
      <c r="J59" s="4" t="n">
        <v>68758</v>
      </c>
      <c r="K59" s="3" t="n">
        <v>84.7</v>
      </c>
      <c r="L59" s="4" t="n">
        <v>20121</v>
      </c>
      <c r="M59" t="n">
        <v>0</v>
      </c>
      <c r="N59" t="inlineStr">
        <is>
          <t>Yes</t>
        </is>
      </c>
      <c r="O59" s="4" t="n">
        <v>36723</v>
      </c>
      <c r="P59" s="4" t="n">
        <v>62338</v>
      </c>
      <c r="Q59" s="4" t="n">
        <v>25615</v>
      </c>
      <c r="R59" s="5" t="n">
        <v>1.7</v>
      </c>
      <c r="S59" s="3" t="n">
        <v>70</v>
      </c>
      <c r="T59" s="3" t="n">
        <v>94.3</v>
      </c>
      <c r="U59" s="4">
        <f>J59-P59</f>
        <v>6420</v>
      </c>
      <c r="V59" s="5">
        <f>ROUND(J59/P59,3)</f>
        <v>1.103</v>
      </c>
      <c r="W59" s="4">
        <f>ROUND(J59/(T59/100),0)</f>
        <v>72914</v>
      </c>
      <c r="X59" s="5">
        <f>ROUND(J59/(I59*4),3)</f>
        <v>0.523</v>
      </c>
      <c r="Y59" s="5">
        <f>ROUND(J59/(H59*4),3)</f>
        <v>1.954</v>
      </c>
      <c r="Z59" t="str">
        <f>IF(J59&gt;P59,"Yes","No")</f>
        <v>Yes</v>
      </c>
      <c r="AA59" s="6">
        <f>RANK(V59,V$2:V$201,0)</f>
        <v>60</v>
      </c>
      <c r="AB59" s="6">
        <f>RANK(W59,W$2:W$201,0)</f>
        <v>72</v>
      </c>
      <c r="AC59" s="3">
        <f>ROUND(L59/J59*100,1)</f>
        <v>29.3</v>
      </c>
      <c r="AD59" s="5">
        <f>ROUND(M59/G59*10000,2)</f>
        <v>0</v>
      </c>
      <c r="AE59" t="inlineStr">
        <is>
          <t>College Scorecard (US Dept. of Education); Nobel Prize API; NCAA; state columns: US Census, Bureau of Economic Analysis</t>
        </is>
      </c>
    </row>
    <row r="60">
      <c r="A60" t="inlineStr">
        <is>
          <t>University of California-Davis</t>
        </is>
      </c>
      <c r="B60" t="inlineStr">
        <is>
          <t>CA</t>
        </is>
      </c>
      <c r="C60" t="inlineStr">
        <is>
          <t>California</t>
        </is>
      </c>
      <c r="D60" t="inlineStr">
        <is>
          <t>Davis</t>
        </is>
      </c>
      <c r="E60" s="3" t="n">
        <v>41.8</v>
      </c>
      <c r="G60" t="n">
        <v>32253</v>
      </c>
      <c r="H60" s="4" t="n">
        <v>16774</v>
      </c>
      <c r="I60" s="4" t="n">
        <v>50974</v>
      </c>
      <c r="J60" s="4" t="n">
        <v>80838</v>
      </c>
      <c r="K60" s="3" t="n">
        <v>85.40000000000001</v>
      </c>
      <c r="L60" s="4" t="n">
        <v>13000</v>
      </c>
      <c r="M60" t="n">
        <v>43</v>
      </c>
      <c r="N60" t="inlineStr">
        <is>
          <t>Yes</t>
        </is>
      </c>
      <c r="O60" s="4" t="n">
        <v>40803</v>
      </c>
      <c r="P60" s="4" t="n">
        <v>78278</v>
      </c>
      <c r="Q60" s="4" t="n">
        <v>37475</v>
      </c>
      <c r="R60" s="5" t="n">
        <v>1.92</v>
      </c>
      <c r="S60" s="3" t="n">
        <v>92</v>
      </c>
      <c r="T60" s="3" t="n">
        <v>110.7</v>
      </c>
      <c r="U60" s="4">
        <f>J60-P60</f>
        <v>2560</v>
      </c>
      <c r="V60" s="5">
        <f>ROUND(J60/P60,3)</f>
        <v>1.033</v>
      </c>
      <c r="W60" s="4">
        <f>ROUND(J60/(T60/100),0)</f>
        <v>73024</v>
      </c>
      <c r="X60" s="5">
        <f>ROUND(J60/(I60*4),3)</f>
        <v>0.396</v>
      </c>
      <c r="Y60" s="5">
        <f>ROUND(J60/(H60*4),3)</f>
        <v>1.205</v>
      </c>
      <c r="Z60" t="str">
        <f>IF(J60&gt;P60,"Yes","No")</f>
        <v>Yes</v>
      </c>
      <c r="AA60" s="6">
        <f>RANK(V60,V$2:V$201,0)</f>
        <v>82</v>
      </c>
      <c r="AB60" s="6">
        <f>RANK(W60,W$2:W$201,0)</f>
        <v>70</v>
      </c>
      <c r="AC60" s="3">
        <f>ROUND(L60/J60*100,1)</f>
        <v>16.1</v>
      </c>
      <c r="AD60" s="5">
        <f>ROUND(M60/G60*10000,2)</f>
        <v>13.33</v>
      </c>
      <c r="AE60" t="inlineStr">
        <is>
          <t>College Scorecard (US Dept. of Education); Nobel Prize API; NCAA; state columns: US Census, Bureau of Economic Analysis</t>
        </is>
      </c>
    </row>
    <row r="61">
      <c r="A61" t="inlineStr">
        <is>
          <t>University of Illinois Urbana-Champaign</t>
        </is>
      </c>
      <c r="B61" t="inlineStr">
        <is>
          <t>IL</t>
        </is>
      </c>
      <c r="C61" t="inlineStr">
        <is>
          <t>Illinois</t>
        </is>
      </c>
      <c r="D61" t="inlineStr">
        <is>
          <t>Champaign</t>
        </is>
      </c>
      <c r="E61" s="3" t="n">
        <v>42.4</v>
      </c>
      <c r="F61" t="n">
        <v>1440</v>
      </c>
      <c r="G61" t="n">
        <v>36258</v>
      </c>
      <c r="H61" s="4" t="n">
        <v>16004</v>
      </c>
      <c r="I61" s="4" t="n">
        <v>35124</v>
      </c>
      <c r="J61" s="4" t="n">
        <v>81054</v>
      </c>
      <c r="K61" s="3" t="n">
        <v>85</v>
      </c>
      <c r="L61" s="4" t="n">
        <v>19500</v>
      </c>
      <c r="M61" t="n">
        <v>4</v>
      </c>
      <c r="N61" t="inlineStr">
        <is>
          <t>Yes</t>
        </is>
      </c>
      <c r="O61" s="4" t="n">
        <v>40285</v>
      </c>
      <c r="P61" s="4" t="n">
        <v>71127</v>
      </c>
      <c r="Q61" s="4" t="n">
        <v>30842</v>
      </c>
      <c r="R61" s="5" t="n">
        <v>1.77</v>
      </c>
      <c r="S61" s="3" t="n">
        <v>77</v>
      </c>
      <c r="T61" s="3" t="n">
        <v>100</v>
      </c>
      <c r="U61" s="4">
        <f>J61-P61</f>
        <v>9927</v>
      </c>
      <c r="V61" s="5">
        <f>ROUND(J61/P61,3)</f>
        <v>1.14</v>
      </c>
      <c r="W61" s="4">
        <f>ROUND(J61/(T61/100),0)</f>
        <v>81054</v>
      </c>
      <c r="X61" s="5">
        <f>ROUND(J61/(I61*4),3)</f>
        <v>0.577</v>
      </c>
      <c r="Y61" s="5">
        <f>ROUND(J61/(H61*4),3)</f>
        <v>1.266</v>
      </c>
      <c r="Z61" t="str">
        <f>IF(J61&gt;P61,"Yes","No")</f>
        <v>Yes</v>
      </c>
      <c r="AA61" s="6">
        <f>RANK(V61,V$2:V$201,0)</f>
        <v>53</v>
      </c>
      <c r="AB61" s="6">
        <f>RANK(W61,W$2:W$201,0)</f>
        <v>42</v>
      </c>
      <c r="AC61" s="3">
        <f>ROUND(L61/J61*100,1)</f>
        <v>24.1</v>
      </c>
      <c r="AD61" s="5">
        <f>ROUND(M61/G61*10000,2)</f>
        <v>1.1</v>
      </c>
      <c r="AE61" t="inlineStr">
        <is>
          <t>College Scorecard (US Dept. of Education); Nobel Prize API; NCAA; state columns: US Census, Bureau of Economic Analysis</t>
        </is>
      </c>
    </row>
    <row r="62">
      <c r="A62" t="inlineStr">
        <is>
          <t>University of South Florida</t>
        </is>
      </c>
      <c r="B62" t="inlineStr">
        <is>
          <t>FL</t>
        </is>
      </c>
      <c r="C62" t="inlineStr">
        <is>
          <t>Florida</t>
        </is>
      </c>
      <c r="D62" t="inlineStr">
        <is>
          <t>Tampa</t>
        </is>
      </c>
      <c r="E62" s="3" t="n">
        <v>43.2</v>
      </c>
      <c r="F62" t="n">
        <v>1227</v>
      </c>
      <c r="G62" t="n">
        <v>37207</v>
      </c>
      <c r="H62" s="4" t="n">
        <v>6410</v>
      </c>
      <c r="I62" s="4" t="n">
        <v>17324</v>
      </c>
      <c r="J62" s="4" t="n">
        <v>57743</v>
      </c>
      <c r="K62" s="3" t="n">
        <v>75.7</v>
      </c>
      <c r="L62" s="4" t="n">
        <v>17988</v>
      </c>
      <c r="M62" t="n">
        <v>0</v>
      </c>
      <c r="N62" t="inlineStr">
        <is>
          <t>Yes</t>
        </is>
      </c>
      <c r="O62" s="4" t="n">
        <v>36384</v>
      </c>
      <c r="P62" s="4" t="n">
        <v>58009</v>
      </c>
      <c r="Q62" s="4" t="n">
        <v>21625</v>
      </c>
      <c r="R62" s="5" t="n">
        <v>1.59</v>
      </c>
      <c r="S62" s="3" t="n">
        <v>59</v>
      </c>
      <c r="T62" s="3" t="n">
        <v>103.4</v>
      </c>
      <c r="U62" s="4">
        <f>J62-P62</f>
        <v>-266</v>
      </c>
      <c r="V62" s="5">
        <f>ROUND(J62/P62,3)</f>
        <v>0.995</v>
      </c>
      <c r="W62" s="4">
        <f>ROUND(J62/(T62/100),0)</f>
        <v>55844</v>
      </c>
      <c r="X62" s="5">
        <f>ROUND(J62/(I62*4),3)</f>
        <v>0.833</v>
      </c>
      <c r="Y62" s="5">
        <f>ROUND(J62/(H62*4),3)</f>
        <v>2.252</v>
      </c>
      <c r="Z62" t="str">
        <f>IF(J62&gt;P62,"Yes","No")</f>
        <v>No</v>
      </c>
      <c r="AA62" s="6">
        <f>RANK(V62,V$2:V$201,0)</f>
        <v>102</v>
      </c>
      <c r="AB62" s="6">
        <f>RANK(W62,W$2:W$201,0)</f>
        <v>158</v>
      </c>
      <c r="AC62" s="3">
        <f>ROUND(L62/J62*100,1)</f>
        <v>31.2</v>
      </c>
      <c r="AD62" s="5">
        <f>ROUND(M62/G62*10000,2)</f>
        <v>0</v>
      </c>
      <c r="AE62" t="inlineStr">
        <is>
          <t>College Scorecard (US Dept. of Education); Nobel Prize API; NCAA; state columns: US Census, Bureau of Economic Analysis</t>
        </is>
      </c>
    </row>
    <row r="63">
      <c r="A63" t="inlineStr">
        <is>
          <t>Berklee College of Music</t>
        </is>
      </c>
      <c r="B63" t="inlineStr">
        <is>
          <t>MA</t>
        </is>
      </c>
      <c r="C63" t="inlineStr">
        <is>
          <t>Massachusetts</t>
        </is>
      </c>
      <c r="D63" t="inlineStr">
        <is>
          <t>Boston</t>
        </is>
      </c>
      <c r="E63" s="3" t="n">
        <v>43.5</v>
      </c>
      <c r="G63" t="n">
        <v>7468</v>
      </c>
      <c r="H63" s="4" t="n">
        <v>52040</v>
      </c>
      <c r="I63" s="4" t="n">
        <v>52040</v>
      </c>
      <c r="J63" s="4" t="n">
        <v>33647</v>
      </c>
      <c r="K63" s="3" t="n">
        <v>66.8</v>
      </c>
      <c r="L63" s="4" t="n">
        <v>25000</v>
      </c>
      <c r="M63" t="n">
        <v>0</v>
      </c>
      <c r="N63" t="inlineStr">
        <is>
          <t>No</t>
        </is>
      </c>
      <c r="O63" s="4" t="n">
        <v>43761</v>
      </c>
      <c r="P63" s="4" t="n">
        <v>79985</v>
      </c>
      <c r="Q63" s="4" t="n">
        <v>36224</v>
      </c>
      <c r="R63" s="5" t="n">
        <v>1.83</v>
      </c>
      <c r="S63" s="3" t="n">
        <v>83</v>
      </c>
      <c r="T63" s="3" t="n">
        <v>105.8</v>
      </c>
      <c r="U63" s="4">
        <f>J63-P63</f>
        <v>-46338</v>
      </c>
      <c r="V63" s="5">
        <f>ROUND(J63/P63,3)</f>
        <v>0.421</v>
      </c>
      <c r="W63" s="4">
        <f>ROUND(J63/(T63/100),0)</f>
        <v>31802</v>
      </c>
      <c r="X63" s="5">
        <f>ROUND(J63/(I63*4),3)</f>
        <v>0.162</v>
      </c>
      <c r="Y63" s="5">
        <f>ROUND(J63/(H63*4),3)</f>
        <v>0.162</v>
      </c>
      <c r="Z63" t="str">
        <f>IF(J63&gt;P63,"Yes","No")</f>
        <v>No</v>
      </c>
      <c r="AA63" s="6">
        <f>RANK(V63,V$2:V$201,0)</f>
        <v>200</v>
      </c>
      <c r="AB63" s="6">
        <f>RANK(W63,W$2:W$201,0)</f>
        <v>198</v>
      </c>
      <c r="AC63" s="3">
        <f>ROUND(L63/J63*100,1)</f>
        <v>74.3</v>
      </c>
      <c r="AD63" s="5">
        <f>ROUND(M63/G63*10000,2)</f>
        <v>0</v>
      </c>
      <c r="AE63" t="inlineStr">
        <is>
          <t>College Scorecard (US Dept. of Education); Nobel Prize API; NCAA; state columns: US Census, Bureau of Economic Analysis</t>
        </is>
      </c>
    </row>
    <row r="64">
      <c r="A64" t="inlineStr">
        <is>
          <t>Texas A &amp; M International University</t>
        </is>
      </c>
      <c r="B64" t="inlineStr">
        <is>
          <t>TX</t>
        </is>
      </c>
      <c r="C64" t="inlineStr">
        <is>
          <t>Texas</t>
        </is>
      </c>
      <c r="D64" t="inlineStr">
        <is>
          <t>Laredo</t>
        </is>
      </c>
      <c r="E64" s="3" t="n">
        <v>44.4</v>
      </c>
      <c r="F64" t="n">
        <v>993</v>
      </c>
      <c r="G64" t="n">
        <v>6667</v>
      </c>
      <c r="H64" s="4" t="n">
        <v>7894</v>
      </c>
      <c r="I64" s="4" t="n">
        <v>19454</v>
      </c>
      <c r="J64" s="4" t="n">
        <v>48386</v>
      </c>
      <c r="K64" s="3" t="n">
        <v>47.6</v>
      </c>
      <c r="L64" s="4" t="n">
        <v>15000</v>
      </c>
      <c r="M64" t="n">
        <v>0</v>
      </c>
      <c r="N64" t="inlineStr">
        <is>
          <t>No</t>
        </is>
      </c>
      <c r="O64" s="4" t="n">
        <v>37086</v>
      </c>
      <c r="P64" s="4" t="n">
        <v>66474</v>
      </c>
      <c r="Q64" s="4" t="n">
        <v>29388</v>
      </c>
      <c r="R64" s="5" t="n">
        <v>1.79</v>
      </c>
      <c r="S64" s="3" t="n">
        <v>79</v>
      </c>
      <c r="T64" s="3" t="n">
        <v>97.09999999999999</v>
      </c>
      <c r="U64" s="4">
        <f>J64-P64</f>
        <v>-18088</v>
      </c>
      <c r="V64" s="5">
        <f>ROUND(J64/P64,3)</f>
        <v>0.728</v>
      </c>
      <c r="W64" s="4">
        <f>ROUND(J64/(T64/100),0)</f>
        <v>49831</v>
      </c>
      <c r="X64" s="5">
        <f>ROUND(J64/(I64*4),3)</f>
        <v>0.622</v>
      </c>
      <c r="Y64" s="5">
        <f>ROUND(J64/(H64*4),3)</f>
        <v>1.532</v>
      </c>
      <c r="Z64" t="str">
        <f>IF(J64&gt;P64,"Yes","No")</f>
        <v>No</v>
      </c>
      <c r="AA64" s="6">
        <f>RANK(V64,V$2:V$201,0)</f>
        <v>188</v>
      </c>
      <c r="AB64" s="6">
        <f>RANK(W64,W$2:W$201,0)</f>
        <v>186</v>
      </c>
      <c r="AC64" s="3">
        <f>ROUND(L64/J64*100,1)</f>
        <v>31</v>
      </c>
      <c r="AD64" s="5">
        <f>ROUND(M64/G64*10000,2)</f>
        <v>0</v>
      </c>
      <c r="AE64" t="inlineStr">
        <is>
          <t>College Scorecard (US Dept. of Education); Nobel Prize API; NCAA; state columns: US Census, Bureau of Economic Analysis</t>
        </is>
      </c>
    </row>
    <row r="65">
      <c r="A65" t="inlineStr">
        <is>
          <t>Texas Christian University</t>
        </is>
      </c>
      <c r="B65" t="inlineStr">
        <is>
          <t>TX</t>
        </is>
      </c>
      <c r="C65" t="inlineStr">
        <is>
          <t>Texas</t>
        </is>
      </c>
      <c r="D65" t="inlineStr">
        <is>
          <t>Fort Worth</t>
        </is>
      </c>
      <c r="E65" s="3" t="n">
        <v>44.5</v>
      </c>
      <c r="F65" t="n">
        <v>1298</v>
      </c>
      <c r="G65" t="n">
        <v>11026</v>
      </c>
      <c r="H65" s="4" t="n">
        <v>61740</v>
      </c>
      <c r="I65" s="4" t="n">
        <v>61740</v>
      </c>
      <c r="J65" s="4" t="n">
        <v>68424</v>
      </c>
      <c r="K65" s="3" t="n">
        <v>85.59999999999999</v>
      </c>
      <c r="L65" s="4" t="n">
        <v>21500</v>
      </c>
      <c r="M65" t="n">
        <v>0</v>
      </c>
      <c r="N65" t="inlineStr">
        <is>
          <t>Yes</t>
        </is>
      </c>
      <c r="O65" s="4" t="n">
        <v>37086</v>
      </c>
      <c r="P65" s="4" t="n">
        <v>66474</v>
      </c>
      <c r="Q65" s="4" t="n">
        <v>29388</v>
      </c>
      <c r="R65" s="5" t="n">
        <v>1.79</v>
      </c>
      <c r="S65" s="3" t="n">
        <v>79</v>
      </c>
      <c r="T65" s="3" t="n">
        <v>97.09999999999999</v>
      </c>
      <c r="U65" s="4">
        <f>J65-P65</f>
        <v>1950</v>
      </c>
      <c r="V65" s="5">
        <f>ROUND(J65/P65,3)</f>
        <v>1.029</v>
      </c>
      <c r="W65" s="4">
        <f>ROUND(J65/(T65/100),0)</f>
        <v>70468</v>
      </c>
      <c r="X65" s="5">
        <f>ROUND(J65/(I65*4),3)</f>
        <v>0.277</v>
      </c>
      <c r="Y65" s="5">
        <f>ROUND(J65/(H65*4),3)</f>
        <v>0.277</v>
      </c>
      <c r="Z65" t="str">
        <f>IF(J65&gt;P65,"Yes","No")</f>
        <v>Yes</v>
      </c>
      <c r="AA65" s="6">
        <f>RANK(V65,V$2:V$201,0)</f>
        <v>86</v>
      </c>
      <c r="AB65" s="6">
        <f>RANK(W65,W$2:W$201,0)</f>
        <v>84</v>
      </c>
      <c r="AC65" s="3">
        <f>ROUND(L65/J65*100,1)</f>
        <v>31.4</v>
      </c>
      <c r="AD65" s="5">
        <f>ROUND(M65/G65*10000,2)</f>
        <v>0</v>
      </c>
      <c r="AE65" t="inlineStr">
        <is>
          <t>College Scorecard (US Dept. of Education); Nobel Prize API; NCAA; state columns: US Census, Bureau of Economic Analysis</t>
        </is>
      </c>
    </row>
    <row r="66">
      <c r="A66" t="inlineStr">
        <is>
          <t>University of Maryland-College Park</t>
        </is>
      </c>
      <c r="B66" t="inlineStr">
        <is>
          <t>MD</t>
        </is>
      </c>
      <c r="C66" t="inlineStr">
        <is>
          <t>Maryland</t>
        </is>
      </c>
      <c r="D66" t="inlineStr">
        <is>
          <t>College Park</t>
        </is>
      </c>
      <c r="E66" s="3" t="n">
        <v>44.8</v>
      </c>
      <c r="F66" t="n">
        <v>1473</v>
      </c>
      <c r="G66" t="n">
        <v>30760</v>
      </c>
      <c r="H66" s="4" t="n">
        <v>11809</v>
      </c>
      <c r="I66" s="4" t="n">
        <v>41186</v>
      </c>
      <c r="J66" s="4" t="n">
        <v>82860</v>
      </c>
      <c r="K66" s="3" t="n">
        <v>88.59999999999999</v>
      </c>
      <c r="L66" s="4" t="n">
        <v>19000</v>
      </c>
      <c r="M66" t="n">
        <v>0</v>
      </c>
      <c r="N66" t="inlineStr">
        <is>
          <t>No</t>
        </is>
      </c>
      <c r="O66" s="4" t="n">
        <v>42778</v>
      </c>
      <c r="P66" s="4" t="n">
        <v>76748</v>
      </c>
      <c r="Q66" s="4" t="n">
        <v>33970</v>
      </c>
      <c r="R66" s="5" t="n">
        <v>1.79</v>
      </c>
      <c r="S66" s="3" t="n">
        <v>79</v>
      </c>
      <c r="T66" s="3" t="n">
        <v>105</v>
      </c>
      <c r="U66" s="4">
        <f>J66-P66</f>
        <v>6112</v>
      </c>
      <c r="V66" s="5">
        <f>ROUND(J66/P66,3)</f>
        <v>1.08</v>
      </c>
      <c r="W66" s="4">
        <f>ROUND(J66/(T66/100),0)</f>
        <v>78914</v>
      </c>
      <c r="X66" s="5">
        <f>ROUND(J66/(I66*4),3)</f>
        <v>0.503</v>
      </c>
      <c r="Y66" s="5">
        <f>ROUND(J66/(H66*4),3)</f>
        <v>1.754</v>
      </c>
      <c r="Z66" t="str">
        <f>IF(J66&gt;P66,"Yes","No")</f>
        <v>Yes</v>
      </c>
      <c r="AA66" s="6">
        <f>RANK(V66,V$2:V$201,0)</f>
        <v>69</v>
      </c>
      <c r="AB66" s="6">
        <f>RANK(W66,W$2:W$201,0)</f>
        <v>48</v>
      </c>
      <c r="AC66" s="3">
        <f>ROUND(L66/J66*100,1)</f>
        <v>22.9</v>
      </c>
      <c r="AD66" s="5">
        <f>ROUND(M66/G66*10000,2)</f>
        <v>0</v>
      </c>
      <c r="AE66" t="inlineStr">
        <is>
          <t>College Scorecard (US Dept. of Education); Nobel Prize API; NCAA; state columns: US Census, Bureau of Economic Analysis</t>
        </is>
      </c>
    </row>
    <row r="67">
      <c r="A67" t="inlineStr">
        <is>
          <t>Loyola Marymount University</t>
        </is>
      </c>
      <c r="B67" t="inlineStr">
        <is>
          <t>CA</t>
        </is>
      </c>
      <c r="C67" t="inlineStr">
        <is>
          <t>California</t>
        </is>
      </c>
      <c r="D67" t="inlineStr">
        <is>
          <t>Los Angeles</t>
        </is>
      </c>
      <c r="E67" s="3" t="n">
        <v>45.1</v>
      </c>
      <c r="F67" t="n">
        <v>1359</v>
      </c>
      <c r="G67" t="n">
        <v>7094</v>
      </c>
      <c r="H67" s="4" t="n">
        <v>62357</v>
      </c>
      <c r="I67" s="4" t="n">
        <v>62357</v>
      </c>
      <c r="J67" s="4" t="n">
        <v>78349</v>
      </c>
      <c r="K67" s="3" t="n">
        <v>79.3</v>
      </c>
      <c r="L67" s="4" t="n">
        <v>19500</v>
      </c>
      <c r="M67" t="n">
        <v>0</v>
      </c>
      <c r="N67" t="inlineStr">
        <is>
          <t>No</t>
        </is>
      </c>
      <c r="O67" s="4" t="n">
        <v>40803</v>
      </c>
      <c r="P67" s="4" t="n">
        <v>78278</v>
      </c>
      <c r="Q67" s="4" t="n">
        <v>37475</v>
      </c>
      <c r="R67" s="5" t="n">
        <v>1.92</v>
      </c>
      <c r="S67" s="3" t="n">
        <v>92</v>
      </c>
      <c r="T67" s="3" t="n">
        <v>110.7</v>
      </c>
      <c r="U67" s="4">
        <f>J67-P67</f>
        <v>71</v>
      </c>
      <c r="V67" s="5">
        <f>ROUND(J67/P67,3)</f>
        <v>1.001</v>
      </c>
      <c r="W67" s="4">
        <f>ROUND(J67/(T67/100),0)</f>
        <v>70776</v>
      </c>
      <c r="X67" s="5">
        <f>ROUND(J67/(I67*4),3)</f>
        <v>0.314</v>
      </c>
      <c r="Y67" s="5">
        <f>ROUND(J67/(H67*4),3)</f>
        <v>0.314</v>
      </c>
      <c r="Z67" t="str">
        <f>IF(J67&gt;P67,"Yes","No")</f>
        <v>Yes</v>
      </c>
      <c r="AA67" s="6">
        <f>RANK(V67,V$2:V$201,0)</f>
        <v>98</v>
      </c>
      <c r="AB67" s="6">
        <f>RANK(W67,W$2:W$201,0)</f>
        <v>83</v>
      </c>
      <c r="AC67" s="3">
        <f>ROUND(L67/J67*100,1)</f>
        <v>24.9</v>
      </c>
      <c r="AD67" s="5">
        <f>ROUND(M67/G67*10000,2)</f>
        <v>0</v>
      </c>
      <c r="AE67" t="inlineStr">
        <is>
          <t>College Scorecard (US Dept. of Education); Nobel Prize API; NCAA; state columns: US Census, Bureau of Economic Analysis</t>
        </is>
      </c>
    </row>
    <row r="68">
      <c r="A68" t="inlineStr">
        <is>
          <t>University of Wisconsin-Madison</t>
        </is>
      </c>
      <c r="B68" t="inlineStr">
        <is>
          <t>WI</t>
        </is>
      </c>
      <c r="C68" t="inlineStr">
        <is>
          <t>Wisconsin</t>
        </is>
      </c>
      <c r="D68" t="inlineStr">
        <is>
          <t>Madison</t>
        </is>
      </c>
      <c r="E68" s="3" t="n">
        <v>45.2</v>
      </c>
      <c r="F68" t="n">
        <v>1427</v>
      </c>
      <c r="G68" t="n">
        <v>36902</v>
      </c>
      <c r="H68" s="4" t="n">
        <v>11603</v>
      </c>
      <c r="I68" s="4" t="n">
        <v>42103</v>
      </c>
      <c r="J68" s="4" t="n">
        <v>73792</v>
      </c>
      <c r="K68" s="3" t="n">
        <v>89.40000000000001</v>
      </c>
      <c r="L68" s="4" t="n">
        <v>20484</v>
      </c>
      <c r="M68" t="n">
        <v>3</v>
      </c>
      <c r="N68" t="inlineStr">
        <is>
          <t>Yes</t>
        </is>
      </c>
      <c r="O68" s="4" t="n">
        <v>41604</v>
      </c>
      <c r="P68" s="4" t="n">
        <v>64320</v>
      </c>
      <c r="Q68" s="4" t="n">
        <v>22716</v>
      </c>
      <c r="R68" s="5" t="n">
        <v>1.55</v>
      </c>
      <c r="S68" s="3" t="n">
        <v>55</v>
      </c>
      <c r="T68" s="3" t="n">
        <v>94.09999999999999</v>
      </c>
      <c r="U68" s="4">
        <f>J68-P68</f>
        <v>9472</v>
      </c>
      <c r="V68" s="5">
        <f>ROUND(J68/P68,3)</f>
        <v>1.147</v>
      </c>
      <c r="W68" s="4">
        <f>ROUND(J68/(T68/100),0)</f>
        <v>78419</v>
      </c>
      <c r="X68" s="5">
        <f>ROUND(J68/(I68*4),3)</f>
        <v>0.438</v>
      </c>
      <c r="Y68" s="5">
        <f>ROUND(J68/(H68*4),3)</f>
        <v>1.59</v>
      </c>
      <c r="Z68" t="str">
        <f>IF(J68&gt;P68,"Yes","No")</f>
        <v>Yes</v>
      </c>
      <c r="AA68" s="6">
        <f>RANK(V68,V$2:V$201,0)</f>
        <v>50</v>
      </c>
      <c r="AB68" s="6">
        <f>RANK(W68,W$2:W$201,0)</f>
        <v>51</v>
      </c>
      <c r="AC68" s="3">
        <f>ROUND(L68/J68*100,1)</f>
        <v>27.8</v>
      </c>
      <c r="AD68" s="5">
        <f>ROUND(M68/G68*10000,2)</f>
        <v>0.8100000000000001</v>
      </c>
      <c r="AE68" t="inlineStr">
        <is>
          <t>College Scorecard (US Dept. of Education); Nobel Prize API; NCAA; state columns: US Census, Bureau of Economic Analysis</t>
        </is>
      </c>
    </row>
    <row r="69">
      <c r="A69" t="inlineStr">
        <is>
          <t>Auburn University</t>
        </is>
      </c>
      <c r="B69" t="inlineStr">
        <is>
          <t>AL</t>
        </is>
      </c>
      <c r="C69" t="inlineStr">
        <is>
          <t>Alabama</t>
        </is>
      </c>
      <c r="D69" t="inlineStr">
        <is>
          <t>Auburn</t>
        </is>
      </c>
      <c r="E69" s="3" t="n">
        <v>45.9</v>
      </c>
      <c r="F69" t="n">
        <v>1345</v>
      </c>
      <c r="G69" t="n">
        <v>26816</v>
      </c>
      <c r="H69" s="4" t="n">
        <v>12890</v>
      </c>
      <c r="I69" s="4" t="n">
        <v>34922</v>
      </c>
      <c r="J69" s="4" t="n">
        <v>65337</v>
      </c>
      <c r="K69" s="3" t="n">
        <v>80.59999999999999</v>
      </c>
      <c r="L69" s="4" t="n">
        <v>21000</v>
      </c>
      <c r="M69" t="n">
        <v>0</v>
      </c>
      <c r="N69" t="inlineStr">
        <is>
          <t>No</t>
        </is>
      </c>
      <c r="O69" s="4" t="n">
        <v>36615</v>
      </c>
      <c r="P69" s="4" t="n">
        <v>60156</v>
      </c>
      <c r="Q69" s="4" t="n">
        <v>23541</v>
      </c>
      <c r="R69" s="5" t="n">
        <v>1.64</v>
      </c>
      <c r="S69" s="3" t="n">
        <v>64</v>
      </c>
      <c r="T69" s="3" t="n">
        <v>88.8</v>
      </c>
      <c r="U69" s="4">
        <f>J69-P69</f>
        <v>5181</v>
      </c>
      <c r="V69" s="5">
        <f>ROUND(J69/P69,3)</f>
        <v>1.086</v>
      </c>
      <c r="W69" s="4">
        <f>ROUND(J69/(T69/100),0)</f>
        <v>73578</v>
      </c>
      <c r="X69" s="5">
        <f>ROUND(J69/(I69*4),3)</f>
        <v>0.468</v>
      </c>
      <c r="Y69" s="5">
        <f>ROUND(J69/(H69*4),3)</f>
        <v>1.267</v>
      </c>
      <c r="Z69" t="str">
        <f>IF(J69&gt;P69,"Yes","No")</f>
        <v>Yes</v>
      </c>
      <c r="AA69" s="6">
        <f>RANK(V69,V$2:V$201,0)</f>
        <v>64</v>
      </c>
      <c r="AB69" s="6">
        <f>RANK(W69,W$2:W$201,0)</f>
        <v>65</v>
      </c>
      <c r="AC69" s="3">
        <f>ROUND(L69/J69*100,1)</f>
        <v>32.1</v>
      </c>
      <c r="AD69" s="5">
        <f>ROUND(M69/G69*10000,2)</f>
        <v>0</v>
      </c>
      <c r="AE69" t="inlineStr">
        <is>
          <t>College Scorecard (US Dept. of Education); Nobel Prize API; NCAA; state columns: US Census, Bureau of Economic Analysis</t>
        </is>
      </c>
    </row>
    <row r="70">
      <c r="A70" t="inlineStr">
        <is>
          <t>Syracuse University</t>
        </is>
      </c>
      <c r="B70" t="inlineStr">
        <is>
          <t>NY</t>
        </is>
      </c>
      <c r="C70" t="inlineStr">
        <is>
          <t>New York</t>
        </is>
      </c>
      <c r="D70" t="inlineStr">
        <is>
          <t>Syracuse</t>
        </is>
      </c>
      <c r="E70" s="3" t="n">
        <v>45.9</v>
      </c>
      <c r="F70" t="n">
        <v>1375</v>
      </c>
      <c r="G70" t="n">
        <v>15477</v>
      </c>
      <c r="H70" s="4" t="n">
        <v>65528</v>
      </c>
      <c r="I70" s="4" t="n">
        <v>65528</v>
      </c>
      <c r="J70" s="4" t="n">
        <v>79164</v>
      </c>
      <c r="K70" s="3" t="n">
        <v>82.5</v>
      </c>
      <c r="L70" s="4" t="n">
        <v>26000</v>
      </c>
      <c r="M70" t="n">
        <v>0</v>
      </c>
      <c r="N70" t="inlineStr">
        <is>
          <t>No</t>
        </is>
      </c>
      <c r="O70" s="4" t="n">
        <v>39771</v>
      </c>
      <c r="P70" s="4" t="n">
        <v>74504</v>
      </c>
      <c r="Q70" s="4" t="n">
        <v>34733</v>
      </c>
      <c r="R70" s="5" t="n">
        <v>1.87</v>
      </c>
      <c r="S70" s="3" t="n">
        <v>87</v>
      </c>
      <c r="T70" s="3" t="n">
        <v>107.9</v>
      </c>
      <c r="U70" s="4">
        <f>J70-P70</f>
        <v>4660</v>
      </c>
      <c r="V70" s="5">
        <f>ROUND(J70/P70,3)</f>
        <v>1.063</v>
      </c>
      <c r="W70" s="4">
        <f>ROUND(J70/(T70/100),0)</f>
        <v>73368</v>
      </c>
      <c r="X70" s="5">
        <f>ROUND(J70/(I70*4),3)</f>
        <v>0.302</v>
      </c>
      <c r="Y70" s="5">
        <f>ROUND(J70/(H70*4),3)</f>
        <v>0.302</v>
      </c>
      <c r="Z70" t="str">
        <f>IF(J70&gt;P70,"Yes","No")</f>
        <v>Yes</v>
      </c>
      <c r="AA70" s="6">
        <f>RANK(V70,V$2:V$201,0)</f>
        <v>72</v>
      </c>
      <c r="AB70" s="6">
        <f>RANK(W70,W$2:W$201,0)</f>
        <v>66</v>
      </c>
      <c r="AC70" s="3">
        <f>ROUND(L70/J70*100,1)</f>
        <v>32.8</v>
      </c>
      <c r="AD70" s="5">
        <f>ROUND(M70/G70*10000,2)</f>
        <v>0</v>
      </c>
      <c r="AE70" t="inlineStr">
        <is>
          <t>College Scorecard (US Dept. of Education); Nobel Prize API; NCAA; state columns: US Census, Bureau of Economic Analysis</t>
        </is>
      </c>
    </row>
    <row r="71">
      <c r="A71" t="inlineStr">
        <is>
          <t>California State University-Long Beach</t>
        </is>
      </c>
      <c r="B71" t="inlineStr">
        <is>
          <t>CA</t>
        </is>
      </c>
      <c r="C71" t="inlineStr">
        <is>
          <t>California</t>
        </is>
      </c>
      <c r="D71" t="inlineStr">
        <is>
          <t>Long Beach</t>
        </is>
      </c>
      <c r="E71" s="3" t="n">
        <v>46.3</v>
      </c>
      <c r="G71" t="n">
        <v>35924</v>
      </c>
      <c r="H71" s="4" t="n">
        <v>7350</v>
      </c>
      <c r="I71" s="4" t="n">
        <v>19950</v>
      </c>
      <c r="J71" s="4" t="n">
        <v>64403</v>
      </c>
      <c r="K71" s="3" t="n">
        <v>69.3</v>
      </c>
      <c r="L71" s="4" t="n">
        <v>14289</v>
      </c>
      <c r="M71" t="n">
        <v>0</v>
      </c>
      <c r="N71" t="inlineStr">
        <is>
          <t>No</t>
        </is>
      </c>
      <c r="O71" s="4" t="n">
        <v>40803</v>
      </c>
      <c r="P71" s="4" t="n">
        <v>78278</v>
      </c>
      <c r="Q71" s="4" t="n">
        <v>37475</v>
      </c>
      <c r="R71" s="5" t="n">
        <v>1.92</v>
      </c>
      <c r="S71" s="3" t="n">
        <v>92</v>
      </c>
      <c r="T71" s="3" t="n">
        <v>110.7</v>
      </c>
      <c r="U71" s="4">
        <f>J71-P71</f>
        <v>-13875</v>
      </c>
      <c r="V71" s="5">
        <f>ROUND(J71/P71,3)</f>
        <v>0.823</v>
      </c>
      <c r="W71" s="4">
        <f>ROUND(J71/(T71/100),0)</f>
        <v>58178</v>
      </c>
      <c r="X71" s="5">
        <f>ROUND(J71/(I71*4),3)</f>
        <v>0.8070000000000001</v>
      </c>
      <c r="Y71" s="5">
        <f>ROUND(J71/(H71*4),3)</f>
        <v>2.191</v>
      </c>
      <c r="Z71" t="str">
        <f>IF(J71&gt;P71,"Yes","No")</f>
        <v>No</v>
      </c>
      <c r="AA71" s="6">
        <f>RANK(V71,V$2:V$201,0)</f>
        <v>159</v>
      </c>
      <c r="AB71" s="6">
        <f>RANK(W71,W$2:W$201,0)</f>
        <v>147</v>
      </c>
      <c r="AC71" s="3">
        <f>ROUND(L71/J71*100,1)</f>
        <v>22.2</v>
      </c>
      <c r="AD71" s="5">
        <f>ROUND(M71/G71*10000,2)</f>
        <v>0</v>
      </c>
      <c r="AE71" t="inlineStr">
        <is>
          <t>College Scorecard (US Dept. of Education); Nobel Prize API; NCAA; state columns: US Census, Bureau of Economic Analysis</t>
        </is>
      </c>
    </row>
    <row r="72">
      <c r="A72" t="inlineStr">
        <is>
          <t>George Washington University</t>
        </is>
      </c>
      <c r="B72" t="inlineStr">
        <is>
          <t>DC</t>
        </is>
      </c>
      <c r="C72" t="inlineStr">
        <is>
          <t>District of Columbia</t>
        </is>
      </c>
      <c r="D72" t="inlineStr">
        <is>
          <t>Washington</t>
        </is>
      </c>
      <c r="E72" s="3" t="n">
        <v>47.1</v>
      </c>
      <c r="F72" t="n">
        <v>1433</v>
      </c>
      <c r="G72" t="n">
        <v>11182</v>
      </c>
      <c r="H72" s="4" t="n">
        <v>67710</v>
      </c>
      <c r="I72" s="4" t="n">
        <v>67710</v>
      </c>
      <c r="J72" s="4" t="n">
        <v>90873</v>
      </c>
      <c r="K72" s="3" t="n">
        <v>84.5</v>
      </c>
      <c r="L72" s="4" t="n">
        <v>20449</v>
      </c>
      <c r="M72" t="n">
        <v>0</v>
      </c>
      <c r="N72" t="inlineStr">
        <is>
          <t>No</t>
        </is>
      </c>
      <c r="O72" s="4" t="n">
        <v>40715</v>
      </c>
      <c r="P72" s="4" t="n">
        <v>95628</v>
      </c>
      <c r="Q72" s="4" t="n">
        <v>54913</v>
      </c>
      <c r="R72" s="5" t="n">
        <v>2.35</v>
      </c>
      <c r="S72" s="3" t="n">
        <v>135</v>
      </c>
      <c r="T72" s="3" t="n">
        <v>109.9</v>
      </c>
      <c r="U72" s="4">
        <f>J72-P72</f>
        <v>-4755</v>
      </c>
      <c r="V72" s="5">
        <f>ROUND(J72/P72,3)</f>
        <v>0.95</v>
      </c>
      <c r="W72" s="4">
        <f>ROUND(J72/(T72/100),0)</f>
        <v>82687</v>
      </c>
      <c r="X72" s="5">
        <f>ROUND(J72/(I72*4),3)</f>
        <v>0.336</v>
      </c>
      <c r="Y72" s="5">
        <f>ROUND(J72/(H72*4),3)</f>
        <v>0.336</v>
      </c>
      <c r="Z72" t="str">
        <f>IF(J72&gt;P72,"Yes","No")</f>
        <v>No</v>
      </c>
      <c r="AA72" s="6">
        <f>RANK(V72,V$2:V$201,0)</f>
        <v>120</v>
      </c>
      <c r="AB72" s="6">
        <f>RANK(W72,W$2:W$201,0)</f>
        <v>36</v>
      </c>
      <c r="AC72" s="3">
        <f>ROUND(L72/J72*100,1)</f>
        <v>22.5</v>
      </c>
      <c r="AD72" s="5">
        <f>ROUND(M72/G72*10000,2)</f>
        <v>0</v>
      </c>
      <c r="AE72" t="inlineStr">
        <is>
          <t>College Scorecard (US Dept. of Education); Nobel Prize API; NCAA; state columns: US Census, Bureau of Economic Analysis</t>
        </is>
      </c>
    </row>
    <row r="73">
      <c r="A73" t="inlineStr">
        <is>
          <t>CUNY Bernard M Baruch College</t>
        </is>
      </c>
      <c r="B73" t="inlineStr">
        <is>
          <t>NY</t>
        </is>
      </c>
      <c r="C73" t="inlineStr">
        <is>
          <t>New York</t>
        </is>
      </c>
      <c r="D73" t="inlineStr">
        <is>
          <t>New York</t>
        </is>
      </c>
      <c r="E73" s="3" t="n">
        <v>47.5</v>
      </c>
      <c r="F73" t="n">
        <v>1280</v>
      </c>
      <c r="G73" t="n">
        <v>16154</v>
      </c>
      <c r="H73" s="4" t="n">
        <v>7464</v>
      </c>
      <c r="I73" s="4" t="n">
        <v>15414</v>
      </c>
      <c r="J73" s="4" t="n">
        <v>75971</v>
      </c>
      <c r="K73" s="3" t="n">
        <v>72.09999999999999</v>
      </c>
      <c r="L73" s="4" t="n">
        <v>11512</v>
      </c>
      <c r="M73" t="n">
        <v>0</v>
      </c>
      <c r="N73" t="inlineStr">
        <is>
          <t>No</t>
        </is>
      </c>
      <c r="O73" s="4" t="n">
        <v>39771</v>
      </c>
      <c r="P73" s="4" t="n">
        <v>74504</v>
      </c>
      <c r="Q73" s="4" t="n">
        <v>34733</v>
      </c>
      <c r="R73" s="5" t="n">
        <v>1.87</v>
      </c>
      <c r="S73" s="3" t="n">
        <v>87</v>
      </c>
      <c r="T73" s="3" t="n">
        <v>107.9</v>
      </c>
      <c r="U73" s="4">
        <f>J73-P73</f>
        <v>1467</v>
      </c>
      <c r="V73" s="5">
        <f>ROUND(J73/P73,3)</f>
        <v>1.02</v>
      </c>
      <c r="W73" s="4">
        <f>ROUND(J73/(T73/100),0)</f>
        <v>70409</v>
      </c>
      <c r="X73" s="5">
        <f>ROUND(J73/(I73*4),3)</f>
        <v>1.232</v>
      </c>
      <c r="Y73" s="5">
        <f>ROUND(J73/(H73*4),3)</f>
        <v>2.545</v>
      </c>
      <c r="Z73" t="str">
        <f>IF(J73&gt;P73,"Yes","No")</f>
        <v>Yes</v>
      </c>
      <c r="AA73" s="6">
        <f>RANK(V73,V$2:V$201,0)</f>
        <v>94</v>
      </c>
      <c r="AB73" s="6">
        <f>RANK(W73,W$2:W$201,0)</f>
        <v>85</v>
      </c>
      <c r="AC73" s="3">
        <f>ROUND(L73/J73*100,1)</f>
        <v>15.2</v>
      </c>
      <c r="AD73" s="5">
        <f>ROUND(M73/G73*10000,2)</f>
        <v>0</v>
      </c>
      <c r="AE73" t="inlineStr">
        <is>
          <t>College Scorecard (US Dept. of Education); Nobel Prize API; NCAA; state columns: US Census, Bureau of Economic Analysis</t>
        </is>
      </c>
    </row>
    <row r="74">
      <c r="A74" t="inlineStr">
        <is>
          <t>Santa Clara University</t>
        </is>
      </c>
      <c r="B74" t="inlineStr">
        <is>
          <t>CA</t>
        </is>
      </c>
      <c r="C74" t="inlineStr">
        <is>
          <t>California</t>
        </is>
      </c>
      <c r="D74" t="inlineStr">
        <is>
          <t>Santa Clara</t>
        </is>
      </c>
      <c r="E74" s="3" t="n">
        <v>48</v>
      </c>
      <c r="F74" t="n">
        <v>1426</v>
      </c>
      <c r="G74" t="n">
        <v>6552</v>
      </c>
      <c r="H74" s="4" t="n">
        <v>61293</v>
      </c>
      <c r="I74" s="4" t="n">
        <v>61293</v>
      </c>
      <c r="J74" s="4" t="n">
        <v>109183</v>
      </c>
      <c r="K74" s="3" t="n">
        <v>88.2</v>
      </c>
      <c r="L74" s="4" t="n">
        <v>19162</v>
      </c>
      <c r="M74" t="n">
        <v>0</v>
      </c>
      <c r="N74" t="inlineStr">
        <is>
          <t>Yes</t>
        </is>
      </c>
      <c r="O74" s="4" t="n">
        <v>40803</v>
      </c>
      <c r="P74" s="4" t="n">
        <v>78278</v>
      </c>
      <c r="Q74" s="4" t="n">
        <v>37475</v>
      </c>
      <c r="R74" s="5" t="n">
        <v>1.92</v>
      </c>
      <c r="S74" s="3" t="n">
        <v>92</v>
      </c>
      <c r="T74" s="3" t="n">
        <v>110.7</v>
      </c>
      <c r="U74" s="4">
        <f>J74-P74</f>
        <v>30905</v>
      </c>
      <c r="V74" s="5">
        <f>ROUND(J74/P74,3)</f>
        <v>1.395</v>
      </c>
      <c r="W74" s="4">
        <f>ROUND(J74/(T74/100),0)</f>
        <v>98630</v>
      </c>
      <c r="X74" s="5">
        <f>ROUND(J74/(I74*4),3)</f>
        <v>0.445</v>
      </c>
      <c r="Y74" s="5">
        <f>ROUND(J74/(H74*4),3)</f>
        <v>0.445</v>
      </c>
      <c r="Z74" t="str">
        <f>IF(J74&gt;P74,"Yes","No")</f>
        <v>Yes</v>
      </c>
      <c r="AA74" s="6">
        <f>RANK(V74,V$2:V$201,0)</f>
        <v>15</v>
      </c>
      <c r="AB74" s="6">
        <f>RANK(W74,W$2:W$201,0)</f>
        <v>11</v>
      </c>
      <c r="AC74" s="3">
        <f>ROUND(L74/J74*100,1)</f>
        <v>17.6</v>
      </c>
      <c r="AD74" s="5">
        <f>ROUND(M74/G74*10000,2)</f>
        <v>0</v>
      </c>
      <c r="AE74" t="inlineStr">
        <is>
          <t>College Scorecard (US Dept. of Education); Nobel Prize API; NCAA; state columns: US Census, Bureau of Economic Analysis</t>
        </is>
      </c>
    </row>
    <row r="75">
      <c r="A75" t="inlineStr">
        <is>
          <t>Stony Brook University</t>
        </is>
      </c>
      <c r="B75" t="inlineStr">
        <is>
          <t>NY</t>
        </is>
      </c>
      <c r="C75" t="inlineStr">
        <is>
          <t>New York</t>
        </is>
      </c>
      <c r="D75" t="inlineStr">
        <is>
          <t>Stony Brook</t>
        </is>
      </c>
      <c r="E75" s="3" t="n">
        <v>49</v>
      </c>
      <c r="F75" t="n">
        <v>1419</v>
      </c>
      <c r="G75" t="n">
        <v>18101</v>
      </c>
      <c r="H75" s="4" t="n">
        <v>10931</v>
      </c>
      <c r="I75" s="4" t="n">
        <v>32741</v>
      </c>
      <c r="J75" s="4" t="n">
        <v>74502</v>
      </c>
      <c r="K75" s="3" t="n">
        <v>76.7</v>
      </c>
      <c r="L75" s="4" t="n">
        <v>18228</v>
      </c>
      <c r="M75" t="n">
        <v>0</v>
      </c>
      <c r="N75" t="inlineStr">
        <is>
          <t>No</t>
        </is>
      </c>
      <c r="O75" s="4" t="n">
        <v>39771</v>
      </c>
      <c r="P75" s="4" t="n">
        <v>74504</v>
      </c>
      <c r="Q75" s="4" t="n">
        <v>34733</v>
      </c>
      <c r="R75" s="5" t="n">
        <v>1.87</v>
      </c>
      <c r="S75" s="3" t="n">
        <v>87</v>
      </c>
      <c r="T75" s="3" t="n">
        <v>107.9</v>
      </c>
      <c r="U75" s="4">
        <f>J75-P75</f>
        <v>-2</v>
      </c>
      <c r="V75" s="5">
        <f>ROUND(J75/P75,3)</f>
        <v>1</v>
      </c>
      <c r="W75" s="4">
        <f>ROUND(J75/(T75/100),0)</f>
        <v>69047</v>
      </c>
      <c r="X75" s="5">
        <f>ROUND(J75/(I75*4),3)</f>
        <v>0.569</v>
      </c>
      <c r="Y75" s="5">
        <f>ROUND(J75/(H75*4),3)</f>
        <v>1.704</v>
      </c>
      <c r="Z75" t="str">
        <f>IF(J75&gt;P75,"Yes","No")</f>
        <v>No</v>
      </c>
      <c r="AA75" s="6">
        <f>RANK(V75,V$2:V$201,0)</f>
        <v>99</v>
      </c>
      <c r="AB75" s="6">
        <f>RANK(W75,W$2:W$201,0)</f>
        <v>93</v>
      </c>
      <c r="AC75" s="3">
        <f>ROUND(L75/J75*100,1)</f>
        <v>24.5</v>
      </c>
      <c r="AD75" s="5">
        <f>ROUND(M75/G75*10000,2)</f>
        <v>0</v>
      </c>
      <c r="AE75" t="inlineStr">
        <is>
          <t>College Scorecard (US Dept. of Education); Nobel Prize API; NCAA; state columns: US Census, Bureau of Economic Analysis</t>
        </is>
      </c>
    </row>
    <row r="76">
      <c r="A76" t="inlineStr">
        <is>
          <t>Purdue University-Main Campus</t>
        </is>
      </c>
      <c r="B76" t="inlineStr">
        <is>
          <t>IN</t>
        </is>
      </c>
      <c r="C76" t="inlineStr">
        <is>
          <t>Indiana</t>
        </is>
      </c>
      <c r="D76" t="inlineStr">
        <is>
          <t>West Lafayette</t>
        </is>
      </c>
      <c r="E76" s="3" t="n">
        <v>49.9</v>
      </c>
      <c r="F76" t="n">
        <v>1364</v>
      </c>
      <c r="G76" t="n">
        <v>44503</v>
      </c>
      <c r="H76" s="4" t="n">
        <v>9992</v>
      </c>
      <c r="I76" s="4" t="n">
        <v>28794</v>
      </c>
      <c r="J76" s="4" t="n">
        <v>72424</v>
      </c>
      <c r="K76" s="3" t="n">
        <v>83.09999999999999</v>
      </c>
      <c r="L76" s="4" t="n">
        <v>19500</v>
      </c>
      <c r="M76" t="n">
        <v>2</v>
      </c>
      <c r="N76" t="inlineStr">
        <is>
          <t>Yes</t>
        </is>
      </c>
      <c r="O76" s="4" t="n">
        <v>39496</v>
      </c>
      <c r="P76" s="4" t="n">
        <v>60573</v>
      </c>
      <c r="Q76" s="4" t="n">
        <v>21077</v>
      </c>
      <c r="R76" s="5" t="n">
        <v>1.53</v>
      </c>
      <c r="S76" s="3" t="n">
        <v>53</v>
      </c>
      <c r="T76" s="3" t="n">
        <v>93.3</v>
      </c>
      <c r="U76" s="4">
        <f>J76-P76</f>
        <v>11851</v>
      </c>
      <c r="V76" s="5">
        <f>ROUND(J76/P76,3)</f>
        <v>1.196</v>
      </c>
      <c r="W76" s="4">
        <f>ROUND(J76/(T76/100),0)</f>
        <v>77625</v>
      </c>
      <c r="X76" s="5">
        <f>ROUND(J76/(I76*4),3)</f>
        <v>0.629</v>
      </c>
      <c r="Y76" s="5">
        <f>ROUND(J76/(H76*4),3)</f>
        <v>1.812</v>
      </c>
      <c r="Z76" t="str">
        <f>IF(J76&gt;P76,"Yes","No")</f>
        <v>Yes</v>
      </c>
      <c r="AA76" s="6">
        <f>RANK(V76,V$2:V$201,0)</f>
        <v>35</v>
      </c>
      <c r="AB76" s="6">
        <f>RANK(W76,W$2:W$201,0)</f>
        <v>54</v>
      </c>
      <c r="AC76" s="3">
        <f>ROUND(L76/J76*100,1)</f>
        <v>26.9</v>
      </c>
      <c r="AD76" s="5">
        <f>ROUND(M76/G76*10000,2)</f>
        <v>0.45</v>
      </c>
      <c r="AE76" t="inlineStr">
        <is>
          <t>College Scorecard (US Dept. of Education); Nobel Prize API; NCAA; state columns: US Census, Bureau of Economic Analysis</t>
        </is>
      </c>
    </row>
    <row r="77">
      <c r="A77" t="inlineStr">
        <is>
          <t>North Carolina A &amp; T State University</t>
        </is>
      </c>
      <c r="B77" t="inlineStr">
        <is>
          <t>NC</t>
        </is>
      </c>
      <c r="C77" t="inlineStr">
        <is>
          <t>North Carolina</t>
        </is>
      </c>
      <c r="D77" t="inlineStr">
        <is>
          <t>Greensboro</t>
        </is>
      </c>
      <c r="E77" s="3" t="n">
        <v>49.9</v>
      </c>
      <c r="F77" t="n">
        <v>1074</v>
      </c>
      <c r="G77" t="n">
        <v>12182</v>
      </c>
      <c r="H77" s="4" t="n">
        <v>6813</v>
      </c>
      <c r="I77" s="4" t="n">
        <v>20673</v>
      </c>
      <c r="J77" s="4" t="n">
        <v>44440</v>
      </c>
      <c r="K77" s="3" t="n">
        <v>56.2</v>
      </c>
      <c r="L77" s="4" t="n">
        <v>27000</v>
      </c>
      <c r="M77" t="n">
        <v>0</v>
      </c>
      <c r="N77" t="inlineStr">
        <is>
          <t>No</t>
        </is>
      </c>
      <c r="O77" s="4" t="n">
        <v>36723</v>
      </c>
      <c r="P77" s="4" t="n">
        <v>62338</v>
      </c>
      <c r="Q77" s="4" t="n">
        <v>25615</v>
      </c>
      <c r="R77" s="5" t="n">
        <v>1.7</v>
      </c>
      <c r="S77" s="3" t="n">
        <v>70</v>
      </c>
      <c r="T77" s="3" t="n">
        <v>94.3</v>
      </c>
      <c r="U77" s="4">
        <f>J77-P77</f>
        <v>-17898</v>
      </c>
      <c r="V77" s="5">
        <f>ROUND(J77/P77,3)</f>
        <v>0.713</v>
      </c>
      <c r="W77" s="4">
        <f>ROUND(J77/(T77/100),0)</f>
        <v>47126</v>
      </c>
      <c r="X77" s="5">
        <f>ROUND(J77/(I77*4),3)</f>
        <v>0.537</v>
      </c>
      <c r="Y77" s="5">
        <f>ROUND(J77/(H77*4),3)</f>
        <v>1.631</v>
      </c>
      <c r="Z77" t="str">
        <f>IF(J77&gt;P77,"Yes","No")</f>
        <v>No</v>
      </c>
      <c r="AA77" s="6">
        <f>RANK(V77,V$2:V$201,0)</f>
        <v>192</v>
      </c>
      <c r="AB77" s="6">
        <f>RANK(W77,W$2:W$201,0)</f>
        <v>193</v>
      </c>
      <c r="AC77" s="3">
        <f>ROUND(L77/J77*100,1)</f>
        <v>60.8</v>
      </c>
      <c r="AD77" s="5">
        <f>ROUND(M77/G77*10000,2)</f>
        <v>0</v>
      </c>
      <c r="AE77" t="inlineStr">
        <is>
          <t>College Scorecard (US Dept. of Education); Nobel Prize API; NCAA; state columns: US Census, Bureau of Economic Analysis</t>
        </is>
      </c>
    </row>
    <row r="78">
      <c r="A78" t="inlineStr">
        <is>
          <t>Baylor University</t>
        </is>
      </c>
      <c r="B78" t="inlineStr">
        <is>
          <t>TX</t>
        </is>
      </c>
      <c r="C78" t="inlineStr">
        <is>
          <t>Texas</t>
        </is>
      </c>
      <c r="D78" t="inlineStr">
        <is>
          <t>Waco</t>
        </is>
      </c>
      <c r="E78" s="3" t="n">
        <v>51.3</v>
      </c>
      <c r="F78" t="n">
        <v>1329</v>
      </c>
      <c r="G78" t="n">
        <v>14785</v>
      </c>
      <c r="H78" s="4" t="n">
        <v>58100</v>
      </c>
      <c r="I78" s="4" t="n">
        <v>58100</v>
      </c>
      <c r="J78" s="4" t="n">
        <v>65793</v>
      </c>
      <c r="K78" s="3" t="n">
        <v>80.09999999999999</v>
      </c>
      <c r="L78" s="4" t="n">
        <v>23000</v>
      </c>
      <c r="M78" t="n">
        <v>0</v>
      </c>
      <c r="N78" t="inlineStr">
        <is>
          <t>No</t>
        </is>
      </c>
      <c r="O78" s="4" t="n">
        <v>37086</v>
      </c>
      <c r="P78" s="4" t="n">
        <v>66474</v>
      </c>
      <c r="Q78" s="4" t="n">
        <v>29388</v>
      </c>
      <c r="R78" s="5" t="n">
        <v>1.79</v>
      </c>
      <c r="S78" s="3" t="n">
        <v>79</v>
      </c>
      <c r="T78" s="3" t="n">
        <v>97.09999999999999</v>
      </c>
      <c r="U78" s="4">
        <f>J78-P78</f>
        <v>-681</v>
      </c>
      <c r="V78" s="5">
        <f>ROUND(J78/P78,3)</f>
        <v>0.99</v>
      </c>
      <c r="W78" s="4">
        <f>ROUND(J78/(T78/100),0)</f>
        <v>67758</v>
      </c>
      <c r="X78" s="5">
        <f>ROUND(J78/(I78*4),3)</f>
        <v>0.283</v>
      </c>
      <c r="Y78" s="5">
        <f>ROUND(J78/(H78*4),3)</f>
        <v>0.283</v>
      </c>
      <c r="Z78" t="str">
        <f>IF(J78&gt;P78,"Yes","No")</f>
        <v>No</v>
      </c>
      <c r="AA78" s="6">
        <f>RANK(V78,V$2:V$201,0)</f>
        <v>103</v>
      </c>
      <c r="AB78" s="6">
        <f>RANK(W78,W$2:W$201,0)</f>
        <v>99</v>
      </c>
      <c r="AC78" s="3">
        <f>ROUND(L78/J78*100,1)</f>
        <v>35</v>
      </c>
      <c r="AD78" s="5">
        <f>ROUND(M78/G78*10000,2)</f>
        <v>0</v>
      </c>
      <c r="AE78" t="inlineStr">
        <is>
          <t>College Scorecard (US Dept. of Education); Nobel Prize API; NCAA; state columns: US Census, Bureau of Economic Analysis</t>
        </is>
      </c>
    </row>
    <row r="79">
      <c r="A79" t="inlineStr">
        <is>
          <t>University of West Georgia</t>
        </is>
      </c>
      <c r="B79" t="inlineStr">
        <is>
          <t>GA</t>
        </is>
      </c>
      <c r="C79" t="inlineStr">
        <is>
          <t>Georgia</t>
        </is>
      </c>
      <c r="D79" t="inlineStr">
        <is>
          <t>Carrollton</t>
        </is>
      </c>
      <c r="E79" s="3" t="n">
        <v>51.6</v>
      </c>
      <c r="F79" t="n">
        <v>1032</v>
      </c>
      <c r="G79" t="n">
        <v>7520</v>
      </c>
      <c r="H79" s="4" t="n">
        <v>6088</v>
      </c>
      <c r="I79" s="4" t="n">
        <v>17800</v>
      </c>
      <c r="J79" s="4" t="n">
        <v>49587</v>
      </c>
      <c r="K79" s="3" t="n">
        <v>43.1</v>
      </c>
      <c r="L79" s="4" t="n">
        <v>23970</v>
      </c>
      <c r="M79" t="n">
        <v>0</v>
      </c>
      <c r="N79" t="inlineStr">
        <is>
          <t>No</t>
        </is>
      </c>
      <c r="O79" s="4" t="n">
        <v>36820</v>
      </c>
      <c r="P79" s="4" t="n">
        <v>64185</v>
      </c>
      <c r="Q79" s="4" t="n">
        <v>27365</v>
      </c>
      <c r="R79" s="5" t="n">
        <v>1.74</v>
      </c>
      <c r="S79" s="3" t="n">
        <v>74</v>
      </c>
      <c r="T79" s="3" t="n">
        <v>96.3</v>
      </c>
      <c r="U79" s="4">
        <f>J79-P79</f>
        <v>-14598</v>
      </c>
      <c r="V79" s="5">
        <f>ROUND(J79/P79,3)</f>
        <v>0.773</v>
      </c>
      <c r="W79" s="4">
        <f>ROUND(J79/(T79/100),0)</f>
        <v>51492</v>
      </c>
      <c r="X79" s="5">
        <f>ROUND(J79/(I79*4),3)</f>
        <v>0.696</v>
      </c>
      <c r="Y79" s="5">
        <f>ROUND(J79/(H79*4),3)</f>
        <v>2.036</v>
      </c>
      <c r="Z79" t="str">
        <f>IF(J79&gt;P79,"Yes","No")</f>
        <v>No</v>
      </c>
      <c r="AA79" s="6">
        <f>RANK(V79,V$2:V$201,0)</f>
        <v>177</v>
      </c>
      <c r="AB79" s="6">
        <f>RANK(W79,W$2:W$201,0)</f>
        <v>179</v>
      </c>
      <c r="AC79" s="3">
        <f>ROUND(L79/J79*100,1)</f>
        <v>48.3</v>
      </c>
      <c r="AD79" s="5">
        <f>ROUND(M79/G79*10000,2)</f>
        <v>0</v>
      </c>
      <c r="AE79" t="inlineStr">
        <is>
          <t>College Scorecard (US Dept. of Education); Nobel Prize API; NCAA; state columns: US Census, Bureau of Economic Analysis</t>
        </is>
      </c>
    </row>
    <row r="80">
      <c r="A80" t="inlineStr">
        <is>
          <t>University of San Diego</t>
        </is>
      </c>
      <c r="B80" t="inlineStr">
        <is>
          <t>CA</t>
        </is>
      </c>
      <c r="C80" t="inlineStr">
        <is>
          <t>California</t>
        </is>
      </c>
      <c r="D80" t="inlineStr">
        <is>
          <t>San Diego</t>
        </is>
      </c>
      <c r="E80" s="3" t="n">
        <v>52.4</v>
      </c>
      <c r="G80" t="n">
        <v>5671</v>
      </c>
      <c r="H80" s="4" t="n">
        <v>59486</v>
      </c>
      <c r="I80" s="4" t="n">
        <v>59486</v>
      </c>
      <c r="J80" s="4" t="n">
        <v>86522</v>
      </c>
      <c r="K80" s="3" t="n">
        <v>82.7</v>
      </c>
      <c r="L80" s="4" t="n">
        <v>22940</v>
      </c>
      <c r="M80" t="n">
        <v>0</v>
      </c>
      <c r="N80" t="inlineStr">
        <is>
          <t>No</t>
        </is>
      </c>
      <c r="O80" s="4" t="n">
        <v>40803</v>
      </c>
      <c r="P80" s="4" t="n">
        <v>78278</v>
      </c>
      <c r="Q80" s="4" t="n">
        <v>37475</v>
      </c>
      <c r="R80" s="5" t="n">
        <v>1.92</v>
      </c>
      <c r="S80" s="3" t="n">
        <v>92</v>
      </c>
      <c r="T80" s="3" t="n">
        <v>110.7</v>
      </c>
      <c r="U80" s="4">
        <f>J80-P80</f>
        <v>8244</v>
      </c>
      <c r="V80" s="5">
        <f>ROUND(J80/P80,3)</f>
        <v>1.105</v>
      </c>
      <c r="W80" s="4">
        <f>ROUND(J80/(T80/100),0)</f>
        <v>78159</v>
      </c>
      <c r="X80" s="5">
        <f>ROUND(J80/(I80*4),3)</f>
        <v>0.364</v>
      </c>
      <c r="Y80" s="5">
        <f>ROUND(J80/(H80*4),3)</f>
        <v>0.364</v>
      </c>
      <c r="Z80" t="str">
        <f>IF(J80&gt;P80,"Yes","No")</f>
        <v>Yes</v>
      </c>
      <c r="AA80" s="6">
        <f>RANK(V80,V$2:V$201,0)</f>
        <v>59</v>
      </c>
      <c r="AB80" s="6">
        <f>RANK(W80,W$2:W$201,0)</f>
        <v>52</v>
      </c>
      <c r="AC80" s="3">
        <f>ROUND(L80/J80*100,1)</f>
        <v>26.5</v>
      </c>
      <c r="AD80" s="5">
        <f>ROUND(M80/G80*10000,2)</f>
        <v>0</v>
      </c>
      <c r="AE80" t="inlineStr">
        <is>
          <t>College Scorecard (US Dept. of Education); Nobel Prize API; NCAA; state columns: US Census, Bureau of Economic Analysis</t>
        </is>
      </c>
    </row>
    <row r="81">
      <c r="A81" t="inlineStr">
        <is>
          <t>University of Connecticut</t>
        </is>
      </c>
      <c r="B81" t="inlineStr">
        <is>
          <t>CT</t>
        </is>
      </c>
      <c r="C81" t="inlineStr">
        <is>
          <t>Connecticut</t>
        </is>
      </c>
      <c r="D81" t="inlineStr">
        <is>
          <t>Storrs</t>
        </is>
      </c>
      <c r="E81" s="3" t="n">
        <v>52.4</v>
      </c>
      <c r="F81" t="n">
        <v>1348</v>
      </c>
      <c r="G81" t="n">
        <v>19835</v>
      </c>
      <c r="H81" s="4" t="n">
        <v>21044</v>
      </c>
      <c r="I81" s="4" t="n">
        <v>43712</v>
      </c>
      <c r="J81" s="4" t="n">
        <v>73997</v>
      </c>
      <c r="K81" s="3" t="n">
        <v>83.5</v>
      </c>
      <c r="L81" s="4" t="n">
        <v>21500</v>
      </c>
      <c r="M81" t="n">
        <v>0</v>
      </c>
      <c r="N81" t="inlineStr">
        <is>
          <t>Yes</t>
        </is>
      </c>
      <c r="O81" s="4" t="n">
        <v>42120</v>
      </c>
      <c r="P81" s="4" t="n">
        <v>75975</v>
      </c>
      <c r="Q81" s="4" t="n">
        <v>33855</v>
      </c>
      <c r="R81" s="5" t="n">
        <v>1.8</v>
      </c>
      <c r="S81" s="3" t="n">
        <v>80</v>
      </c>
      <c r="T81" s="3" t="n">
        <v>103.6</v>
      </c>
      <c r="U81" s="4">
        <f>J81-P81</f>
        <v>-1978</v>
      </c>
      <c r="V81" s="5">
        <f>ROUND(J81/P81,3)</f>
        <v>0.974</v>
      </c>
      <c r="W81" s="4">
        <f>ROUND(J81/(T81/100),0)</f>
        <v>71426</v>
      </c>
      <c r="X81" s="5">
        <f>ROUND(J81/(I81*4),3)</f>
        <v>0.423</v>
      </c>
      <c r="Y81" s="5">
        <f>ROUND(J81/(H81*4),3)</f>
        <v>0.879</v>
      </c>
      <c r="Z81" t="str">
        <f>IF(J81&gt;P81,"Yes","No")</f>
        <v>No</v>
      </c>
      <c r="AA81" s="6">
        <f>RANK(V81,V$2:V$201,0)</f>
        <v>111</v>
      </c>
      <c r="AB81" s="6">
        <f>RANK(W81,W$2:W$201,0)</f>
        <v>79</v>
      </c>
      <c r="AC81" s="3">
        <f>ROUND(L81/J81*100,1)</f>
        <v>29.1</v>
      </c>
      <c r="AD81" s="5">
        <f>ROUND(M81/G81*10000,2)</f>
        <v>0</v>
      </c>
      <c r="AE81" t="inlineStr">
        <is>
          <t>College Scorecard (US Dept. of Education); Nobel Prize API; NCAA; state columns: US Census, Bureau of Economic Analysis</t>
        </is>
      </c>
    </row>
    <row r="82">
      <c r="A82" t="inlineStr">
        <is>
          <t>University of North Florida</t>
        </is>
      </c>
      <c r="B82" t="inlineStr">
        <is>
          <t>FL</t>
        </is>
      </c>
      <c r="C82" t="inlineStr">
        <is>
          <t>Florida</t>
        </is>
      </c>
      <c r="D82" t="inlineStr">
        <is>
          <t>Jacksonville</t>
        </is>
      </c>
      <c r="E82" s="3" t="n">
        <v>53.2</v>
      </c>
      <c r="F82" t="n">
        <v>1153</v>
      </c>
      <c r="G82" t="n">
        <v>13359</v>
      </c>
      <c r="H82" s="4" t="n">
        <v>6389</v>
      </c>
      <c r="I82" s="4" t="n">
        <v>20793</v>
      </c>
      <c r="J82" s="4" t="n">
        <v>56343</v>
      </c>
      <c r="K82" s="3" t="n">
        <v>68.7</v>
      </c>
      <c r="L82" s="4" t="n">
        <v>15531</v>
      </c>
      <c r="M82" t="n">
        <v>0</v>
      </c>
      <c r="N82" t="inlineStr">
        <is>
          <t>No</t>
        </is>
      </c>
      <c r="O82" s="4" t="n">
        <v>36384</v>
      </c>
      <c r="P82" s="4" t="n">
        <v>58009</v>
      </c>
      <c r="Q82" s="4" t="n">
        <v>21625</v>
      </c>
      <c r="R82" s="5" t="n">
        <v>1.59</v>
      </c>
      <c r="S82" s="3" t="n">
        <v>59</v>
      </c>
      <c r="T82" s="3" t="n">
        <v>103.4</v>
      </c>
      <c r="U82" s="4">
        <f>J82-P82</f>
        <v>-1666</v>
      </c>
      <c r="V82" s="5">
        <f>ROUND(J82/P82,3)</f>
        <v>0.971</v>
      </c>
      <c r="W82" s="4">
        <f>ROUND(J82/(T82/100),0)</f>
        <v>54490</v>
      </c>
      <c r="X82" s="5">
        <f>ROUND(J82/(I82*4),3)</f>
        <v>0.677</v>
      </c>
      <c r="Y82" s="5">
        <f>ROUND(J82/(H82*4),3)</f>
        <v>2.205</v>
      </c>
      <c r="Z82" t="str">
        <f>IF(J82&gt;P82,"Yes","No")</f>
        <v>No</v>
      </c>
      <c r="AA82" s="6">
        <f>RANK(V82,V$2:V$201,0)</f>
        <v>112</v>
      </c>
      <c r="AB82" s="6">
        <f>RANK(W82,W$2:W$201,0)</f>
        <v>165</v>
      </c>
      <c r="AC82" s="3">
        <f>ROUND(L82/J82*100,1)</f>
        <v>27.6</v>
      </c>
      <c r="AD82" s="5">
        <f>ROUND(M82/G82*10000,2)</f>
        <v>0</v>
      </c>
      <c r="AE82" t="inlineStr">
        <is>
          <t>College Scorecard (US Dept. of Education); Nobel Prize API; NCAA; state columns: US Census, Bureau of Economic Analysis</t>
        </is>
      </c>
    </row>
    <row r="83">
      <c r="A83" t="inlineStr">
        <is>
          <t>CUNY Hunter College</t>
        </is>
      </c>
      <c r="B83" t="inlineStr">
        <is>
          <t>NY</t>
        </is>
      </c>
      <c r="C83" t="inlineStr">
        <is>
          <t>New York</t>
        </is>
      </c>
      <c r="D83" t="inlineStr">
        <is>
          <t>New York</t>
        </is>
      </c>
      <c r="E83" s="3" t="n">
        <v>53.8</v>
      </c>
      <c r="F83" t="n">
        <v>1280</v>
      </c>
      <c r="G83" t="n">
        <v>16289</v>
      </c>
      <c r="H83" s="4" t="n">
        <v>7382</v>
      </c>
      <c r="I83" s="4" t="n">
        <v>15332</v>
      </c>
      <c r="J83" s="4" t="n">
        <v>63163</v>
      </c>
      <c r="K83" s="3" t="n">
        <v>58.8</v>
      </c>
      <c r="L83" s="4" t="n">
        <v>11000</v>
      </c>
      <c r="M83" t="n">
        <v>0</v>
      </c>
      <c r="N83" t="inlineStr">
        <is>
          <t>No</t>
        </is>
      </c>
      <c r="O83" s="4" t="n">
        <v>39771</v>
      </c>
      <c r="P83" s="4" t="n">
        <v>74504</v>
      </c>
      <c r="Q83" s="4" t="n">
        <v>34733</v>
      </c>
      <c r="R83" s="5" t="n">
        <v>1.87</v>
      </c>
      <c r="S83" s="3" t="n">
        <v>87</v>
      </c>
      <c r="T83" s="3" t="n">
        <v>107.9</v>
      </c>
      <c r="U83" s="4">
        <f>J83-P83</f>
        <v>-11341</v>
      </c>
      <c r="V83" s="5">
        <f>ROUND(J83/P83,3)</f>
        <v>0.848</v>
      </c>
      <c r="W83" s="4">
        <f>ROUND(J83/(T83/100),0)</f>
        <v>58538</v>
      </c>
      <c r="X83" s="5">
        <f>ROUND(J83/(I83*4),3)</f>
        <v>1.03</v>
      </c>
      <c r="Y83" s="5">
        <f>ROUND(J83/(H83*4),3)</f>
        <v>2.139</v>
      </c>
      <c r="Z83" t="str">
        <f>IF(J83&gt;P83,"Yes","No")</f>
        <v>No</v>
      </c>
      <c r="AA83" s="6">
        <f>RANK(V83,V$2:V$201,0)</f>
        <v>152</v>
      </c>
      <c r="AB83" s="6">
        <f>RANK(W83,W$2:W$201,0)</f>
        <v>143</v>
      </c>
      <c r="AC83" s="3">
        <f>ROUND(L83/J83*100,1)</f>
        <v>17.4</v>
      </c>
      <c r="AD83" s="5">
        <f>ROUND(M83/G83*10000,2)</f>
        <v>0</v>
      </c>
      <c r="AE83" t="inlineStr">
        <is>
          <t>College Scorecard (US Dept. of Education); Nobel Prize API; NCAA; state columns: US Census, Bureau of Economic Analysis</t>
        </is>
      </c>
    </row>
    <row r="84">
      <c r="A84" t="inlineStr">
        <is>
          <t>University of Puerto Rico-Rio Piedras</t>
        </is>
      </c>
      <c r="B84" t="inlineStr">
        <is>
          <t>PR</t>
        </is>
      </c>
      <c r="C84" t="inlineStr">
        <is>
          <t>Puerto Rico</t>
        </is>
      </c>
      <c r="D84" t="inlineStr">
        <is>
          <t>San Juan</t>
        </is>
      </c>
      <c r="E84" s="3" t="n">
        <v>54.6</v>
      </c>
      <c r="G84" t="n">
        <v>8572</v>
      </c>
      <c r="H84" s="4" t="n">
        <v>5354</v>
      </c>
      <c r="I84" s="4" t="n">
        <v>5354</v>
      </c>
      <c r="J84" s="4" t="n">
        <v>35723</v>
      </c>
      <c r="K84" s="3" t="n">
        <v>51.4</v>
      </c>
      <c r="L84" s="4" t="n">
        <v>5500</v>
      </c>
      <c r="M84" t="n">
        <v>0</v>
      </c>
      <c r="N84" t="inlineStr">
        <is>
          <t>No</t>
        </is>
      </c>
      <c r="O84" s="4" t="n">
        <v>16957</v>
      </c>
      <c r="P84" s="4" t="n">
        <v>30562</v>
      </c>
      <c r="Q84" s="4" t="n">
        <v>13605</v>
      </c>
      <c r="R84" s="5" t="n">
        <v>1.8</v>
      </c>
      <c r="S84" s="3" t="n">
        <v>80</v>
      </c>
      <c r="T84" s="3" t="n"/>
      <c r="U84" s="4">
        <f>J84-P84</f>
        <v>5161</v>
      </c>
      <c r="V84" s="5">
        <f>ROUND(J84/P84,3)</f>
        <v>1.169</v>
      </c>
      <c r="W84" s="4" t="n"/>
      <c r="X84" s="5">
        <f>ROUND(J84/(I84*4),3)</f>
        <v>1.668</v>
      </c>
      <c r="Y84" s="5">
        <f>ROUND(J84/(H84*4),3)</f>
        <v>1.668</v>
      </c>
      <c r="Z84" t="str">
        <f>IF(J84&gt;P84,"Yes","No")</f>
        <v>Yes</v>
      </c>
      <c r="AA84" s="6">
        <f>RANK(V84,V$2:V$201,0)</f>
        <v>41</v>
      </c>
      <c r="AB84" s="6" t="n"/>
      <c r="AC84" s="3">
        <f>ROUND(L84/J84*100,1)</f>
        <v>15.4</v>
      </c>
      <c r="AD84" s="5">
        <f>ROUND(M84/G84*10000,2)</f>
        <v>0</v>
      </c>
      <c r="AE84" t="inlineStr">
        <is>
          <t>College Scorecard (US Dept. of Education); Nobel Prize API; NCAA; state columns: US Census, Bureau of Economic Analysis</t>
        </is>
      </c>
    </row>
    <row r="85">
      <c r="A85" t="inlineStr">
        <is>
          <t>Florida International University</t>
        </is>
      </c>
      <c r="B85" t="inlineStr">
        <is>
          <t>FL</t>
        </is>
      </c>
      <c r="C85" t="inlineStr">
        <is>
          <t>Florida</t>
        </is>
      </c>
      <c r="D85" t="inlineStr">
        <is>
          <t>Miami</t>
        </is>
      </c>
      <c r="E85" s="3" t="n">
        <v>54.7</v>
      </c>
      <c r="F85" t="n">
        <v>1163</v>
      </c>
      <c r="G85" t="n">
        <v>39508</v>
      </c>
      <c r="H85" s="4" t="n">
        <v>6565</v>
      </c>
      <c r="I85" s="4" t="n">
        <v>18964</v>
      </c>
      <c r="J85" s="4" t="n">
        <v>60249</v>
      </c>
      <c r="K85" s="3" t="n">
        <v>74.2</v>
      </c>
      <c r="L85" s="4" t="n">
        <v>16500</v>
      </c>
      <c r="M85" t="n">
        <v>0</v>
      </c>
      <c r="N85" t="inlineStr">
        <is>
          <t>No</t>
        </is>
      </c>
      <c r="O85" s="4" t="n">
        <v>36384</v>
      </c>
      <c r="P85" s="4" t="n">
        <v>58009</v>
      </c>
      <c r="Q85" s="4" t="n">
        <v>21625</v>
      </c>
      <c r="R85" s="5" t="n">
        <v>1.59</v>
      </c>
      <c r="S85" s="3" t="n">
        <v>59</v>
      </c>
      <c r="T85" s="3" t="n">
        <v>103.4</v>
      </c>
      <c r="U85" s="4">
        <f>J85-P85</f>
        <v>2240</v>
      </c>
      <c r="V85" s="5">
        <f>ROUND(J85/P85,3)</f>
        <v>1.039</v>
      </c>
      <c r="W85" s="4">
        <f>ROUND(J85/(T85/100),0)</f>
        <v>58268</v>
      </c>
      <c r="X85" s="5">
        <f>ROUND(J85/(I85*4),3)</f>
        <v>0.794</v>
      </c>
      <c r="Y85" s="5">
        <f>ROUND(J85/(H85*4),3)</f>
        <v>2.294</v>
      </c>
      <c r="Z85" t="str">
        <f>IF(J85&gt;P85,"Yes","No")</f>
        <v>Yes</v>
      </c>
      <c r="AA85" s="6">
        <f>RANK(V85,V$2:V$201,0)</f>
        <v>80</v>
      </c>
      <c r="AB85" s="6">
        <f>RANK(W85,W$2:W$201,0)</f>
        <v>146</v>
      </c>
      <c r="AC85" s="3">
        <f>ROUND(L85/J85*100,1)</f>
        <v>27.4</v>
      </c>
      <c r="AD85" s="5">
        <f>ROUND(M85/G85*10000,2)</f>
        <v>0</v>
      </c>
      <c r="AE85" t="inlineStr">
        <is>
          <t>College Scorecard (US Dept. of Education); Nobel Prize API; NCAA; state columns: US Census, Bureau of Economic Analysis</t>
        </is>
      </c>
    </row>
    <row r="86">
      <c r="A86" t="inlineStr">
        <is>
          <t>Virginia Polytechnic Institute and State University</t>
        </is>
      </c>
      <c r="B86" t="inlineStr">
        <is>
          <t>VA</t>
        </is>
      </c>
      <c r="C86" t="inlineStr">
        <is>
          <t>Virginia</t>
        </is>
      </c>
      <c r="D86" t="inlineStr">
        <is>
          <t>Blacksburg</t>
        </is>
      </c>
      <c r="E86" s="3" t="n">
        <v>54.8</v>
      </c>
      <c r="F86" t="n">
        <v>1364</v>
      </c>
      <c r="G86" t="n">
        <v>30923</v>
      </c>
      <c r="H86" s="4" t="n">
        <v>15948</v>
      </c>
      <c r="I86" s="4" t="n">
        <v>37764</v>
      </c>
      <c r="J86" s="4" t="n">
        <v>81698</v>
      </c>
      <c r="K86" s="3" t="n">
        <v>86.2</v>
      </c>
      <c r="L86" s="4" t="n">
        <v>21500</v>
      </c>
      <c r="M86" t="n">
        <v>0</v>
      </c>
      <c r="N86" t="inlineStr">
        <is>
          <t>No</t>
        </is>
      </c>
      <c r="O86" s="4" t="n">
        <v>41061</v>
      </c>
      <c r="P86" s="4" t="n">
        <v>74468</v>
      </c>
      <c r="Q86" s="4" t="n">
        <v>33407</v>
      </c>
      <c r="R86" s="5" t="n">
        <v>1.81</v>
      </c>
      <c r="S86" s="3" t="n">
        <v>81</v>
      </c>
      <c r="T86" s="3" t="n">
        <v>101.1</v>
      </c>
      <c r="U86" s="4">
        <f>J86-P86</f>
        <v>7230</v>
      </c>
      <c r="V86" s="5">
        <f>ROUND(J86/P86,3)</f>
        <v>1.097</v>
      </c>
      <c r="W86" s="4">
        <f>ROUND(J86/(T86/100),0)</f>
        <v>80809</v>
      </c>
      <c r="X86" s="5">
        <f>ROUND(J86/(I86*4),3)</f>
        <v>0.541</v>
      </c>
      <c r="Y86" s="5">
        <f>ROUND(J86/(H86*4),3)</f>
        <v>1.281</v>
      </c>
      <c r="Z86" t="str">
        <f>IF(J86&gt;P86,"Yes","No")</f>
        <v>Yes</v>
      </c>
      <c r="AA86" s="6">
        <f>RANK(V86,V$2:V$201,0)</f>
        <v>63</v>
      </c>
      <c r="AB86" s="6">
        <f>RANK(W86,W$2:W$201,0)</f>
        <v>44</v>
      </c>
      <c r="AC86" s="3">
        <f>ROUND(L86/J86*100,1)</f>
        <v>26.3</v>
      </c>
      <c r="AD86" s="5">
        <f>ROUND(M86/G86*10000,2)</f>
        <v>0</v>
      </c>
      <c r="AE86" t="inlineStr">
        <is>
          <t>College Scorecard (US Dept. of Education); Nobel Prize API; NCAA; state columns: US Census, Bureau of Economic Analysis</t>
        </is>
      </c>
    </row>
    <row r="87">
      <c r="A87" t="inlineStr">
        <is>
          <t>Georgia State University</t>
        </is>
      </c>
      <c r="B87" t="inlineStr">
        <is>
          <t>GA</t>
        </is>
      </c>
      <c r="C87" t="inlineStr">
        <is>
          <t>Georgia</t>
        </is>
      </c>
      <c r="D87" t="inlineStr">
        <is>
          <t>Atlanta</t>
        </is>
      </c>
      <c r="E87" s="3" t="n">
        <v>55.4</v>
      </c>
      <c r="F87" t="n">
        <v>1076</v>
      </c>
      <c r="G87" t="n">
        <v>26623</v>
      </c>
      <c r="H87" s="4" t="n">
        <v>8664</v>
      </c>
      <c r="I87" s="4" t="n">
        <v>24840</v>
      </c>
      <c r="J87" s="4" t="n">
        <v>47384</v>
      </c>
      <c r="K87" s="3" t="n">
        <v>53.4</v>
      </c>
      <c r="L87" s="4" t="n">
        <v>20903</v>
      </c>
      <c r="M87" t="n">
        <v>0</v>
      </c>
      <c r="N87" t="inlineStr">
        <is>
          <t>No</t>
        </is>
      </c>
      <c r="O87" s="4" t="n">
        <v>36820</v>
      </c>
      <c r="P87" s="4" t="n">
        <v>64185</v>
      </c>
      <c r="Q87" s="4" t="n">
        <v>27365</v>
      </c>
      <c r="R87" s="5" t="n">
        <v>1.74</v>
      </c>
      <c r="S87" s="3" t="n">
        <v>74</v>
      </c>
      <c r="T87" s="3" t="n">
        <v>96.3</v>
      </c>
      <c r="U87" s="4">
        <f>J87-P87</f>
        <v>-16801</v>
      </c>
      <c r="V87" s="5">
        <f>ROUND(J87/P87,3)</f>
        <v>0.738</v>
      </c>
      <c r="W87" s="4">
        <f>ROUND(J87/(T87/100),0)</f>
        <v>49205</v>
      </c>
      <c r="X87" s="5">
        <f>ROUND(J87/(I87*4),3)</f>
        <v>0.477</v>
      </c>
      <c r="Y87" s="5">
        <f>ROUND(J87/(H87*4),3)</f>
        <v>1.367</v>
      </c>
      <c r="Z87" t="str">
        <f>IF(J87&gt;P87,"Yes","No")</f>
        <v>No</v>
      </c>
      <c r="AA87" s="6">
        <f>RANK(V87,V$2:V$201,0)</f>
        <v>186</v>
      </c>
      <c r="AB87" s="6">
        <f>RANK(W87,W$2:W$201,0)</f>
        <v>187</v>
      </c>
      <c r="AC87" s="3">
        <f>ROUND(L87/J87*100,1)</f>
        <v>44.1</v>
      </c>
      <c r="AD87" s="5">
        <f>ROUND(M87/G87*10000,2)</f>
        <v>0</v>
      </c>
      <c r="AE87" t="inlineStr">
        <is>
          <t>College Scorecard (US Dept. of Education); Nobel Prize API; NCAA; state columns: US Census, Bureau of Economic Analysis</t>
        </is>
      </c>
    </row>
    <row r="88">
      <c r="A88" t="inlineStr">
        <is>
          <t>University of Michigan-Dearborn</t>
        </is>
      </c>
      <c r="B88" t="inlineStr">
        <is>
          <t>MI</t>
        </is>
      </c>
      <c r="C88" t="inlineStr">
        <is>
          <t>Michigan</t>
        </is>
      </c>
      <c r="D88" t="inlineStr">
        <is>
          <t>Dearborn</t>
        </is>
      </c>
      <c r="E88" s="3" t="n">
        <v>55.6</v>
      </c>
      <c r="F88" t="n">
        <v>1115</v>
      </c>
      <c r="G88" t="n">
        <v>5952</v>
      </c>
      <c r="H88" s="4" t="n">
        <v>15640</v>
      </c>
      <c r="I88" s="4" t="n">
        <v>32896</v>
      </c>
      <c r="J88" s="4" t="n">
        <v>59649</v>
      </c>
      <c r="K88" s="3" t="n">
        <v>57.3</v>
      </c>
      <c r="L88" s="4" t="n">
        <v>22500</v>
      </c>
      <c r="M88" t="n">
        <v>0</v>
      </c>
      <c r="N88" t="inlineStr">
        <is>
          <t>Yes</t>
        </is>
      </c>
      <c r="O88" s="4" t="n">
        <v>36823</v>
      </c>
      <c r="P88" s="4" t="n">
        <v>64810</v>
      </c>
      <c r="Q88" s="4" t="n">
        <v>27987</v>
      </c>
      <c r="R88" s="5" t="n">
        <v>1.76</v>
      </c>
      <c r="S88" s="3" t="n">
        <v>76</v>
      </c>
      <c r="T88" s="3" t="n">
        <v>96.2</v>
      </c>
      <c r="U88" s="4">
        <f>J88-P88</f>
        <v>-5161</v>
      </c>
      <c r="V88" s="5">
        <f>ROUND(J88/P88,3)</f>
        <v>0.92</v>
      </c>
      <c r="W88" s="4">
        <f>ROUND(J88/(T88/100),0)</f>
        <v>62005</v>
      </c>
      <c r="X88" s="5">
        <f>ROUND(J88/(I88*4),3)</f>
        <v>0.453</v>
      </c>
      <c r="Y88" s="5">
        <f>ROUND(J88/(H88*4),3)</f>
        <v>0.953</v>
      </c>
      <c r="Z88" t="str">
        <f>IF(J88&gt;P88,"Yes","No")</f>
        <v>No</v>
      </c>
      <c r="AA88" s="6">
        <f>RANK(V88,V$2:V$201,0)</f>
        <v>135</v>
      </c>
      <c r="AB88" s="6">
        <f>RANK(W88,W$2:W$201,0)</f>
        <v>128</v>
      </c>
      <c r="AC88" s="3">
        <f>ROUND(L88/J88*100,1)</f>
        <v>37.7</v>
      </c>
      <c r="AD88" s="5">
        <f>ROUND(M88/G88*10000,2)</f>
        <v>0</v>
      </c>
      <c r="AE88" t="inlineStr">
        <is>
          <t>College Scorecard (US Dept. of Education); Nobel Prize API; NCAA; state columns: US Census, Bureau of Economic Analysis</t>
        </is>
      </c>
    </row>
    <row r="89">
      <c r="A89" t="inlineStr">
        <is>
          <t>Marist University</t>
        </is>
      </c>
      <c r="B89" t="inlineStr">
        <is>
          <t>NY</t>
        </is>
      </c>
      <c r="C89" t="inlineStr">
        <is>
          <t>New York</t>
        </is>
      </c>
      <c r="D89" t="inlineStr">
        <is>
          <t>Poughkeepsie</t>
        </is>
      </c>
      <c r="E89" s="3" t="n">
        <v>56.5</v>
      </c>
      <c r="F89" t="n">
        <v>1295</v>
      </c>
      <c r="G89" t="n">
        <v>5182</v>
      </c>
      <c r="H89" s="4" t="n">
        <v>47750</v>
      </c>
      <c r="I89" s="4" t="n">
        <v>47750</v>
      </c>
      <c r="J89" s="4" t="n">
        <v>77819</v>
      </c>
      <c r="K89" s="3" t="n">
        <v>79.7</v>
      </c>
      <c r="L89" s="4" t="n">
        <v>25000</v>
      </c>
      <c r="M89" t="n">
        <v>0</v>
      </c>
      <c r="N89" t="inlineStr">
        <is>
          <t>No</t>
        </is>
      </c>
      <c r="O89" s="4" t="n">
        <v>39771</v>
      </c>
      <c r="P89" s="4" t="n">
        <v>74504</v>
      </c>
      <c r="Q89" s="4" t="n">
        <v>34733</v>
      </c>
      <c r="R89" s="5" t="n">
        <v>1.87</v>
      </c>
      <c r="S89" s="3" t="n">
        <v>87</v>
      </c>
      <c r="T89" s="3" t="n">
        <v>107.9</v>
      </c>
      <c r="U89" s="4">
        <f>J89-P89</f>
        <v>3315</v>
      </c>
      <c r="V89" s="5">
        <f>ROUND(J89/P89,3)</f>
        <v>1.044</v>
      </c>
      <c r="W89" s="4">
        <f>ROUND(J89/(T89/100),0)</f>
        <v>72121</v>
      </c>
      <c r="X89" s="5">
        <f>ROUND(J89/(I89*4),3)</f>
        <v>0.407</v>
      </c>
      <c r="Y89" s="5">
        <f>ROUND(J89/(H89*4),3)</f>
        <v>0.407</v>
      </c>
      <c r="Z89" t="str">
        <f>IF(J89&gt;P89,"Yes","No")</f>
        <v>Yes</v>
      </c>
      <c r="AA89" s="6">
        <f>RANK(V89,V$2:V$201,0)</f>
        <v>77</v>
      </c>
      <c r="AB89" s="6">
        <f>RANK(W89,W$2:W$201,0)</f>
        <v>76</v>
      </c>
      <c r="AC89" s="3">
        <f>ROUND(L89/J89*100,1)</f>
        <v>32.1</v>
      </c>
      <c r="AD89" s="5">
        <f>ROUND(M89/G89*10000,2)</f>
        <v>0</v>
      </c>
      <c r="AE89" t="inlineStr">
        <is>
          <t>College Scorecard (US Dept. of Education); Nobel Prize API; NCAA; state columns: US Census, Bureau of Economic Analysis</t>
        </is>
      </c>
    </row>
    <row r="90">
      <c r="A90" t="inlineStr">
        <is>
          <t>University of Puerto Rico-Mayaguez</t>
        </is>
      </c>
      <c r="B90" t="inlineStr">
        <is>
          <t>PR</t>
        </is>
      </c>
      <c r="C90" t="inlineStr">
        <is>
          <t>Puerto Rico</t>
        </is>
      </c>
      <c r="D90" t="inlineStr">
        <is>
          <t>Mayaguez</t>
        </is>
      </c>
      <c r="E90" s="3" t="n">
        <v>56.5</v>
      </c>
      <c r="G90" t="n">
        <v>9539</v>
      </c>
      <c r="H90" s="4" t="n">
        <v>5274</v>
      </c>
      <c r="I90" s="4" t="n">
        <v>5274</v>
      </c>
      <c r="J90" s="4" t="n">
        <v>48992</v>
      </c>
      <c r="K90" s="3" t="n">
        <v>48</v>
      </c>
      <c r="L90" s="4" t="n">
        <v>8250</v>
      </c>
      <c r="M90" t="n">
        <v>0</v>
      </c>
      <c r="N90" t="inlineStr">
        <is>
          <t>No</t>
        </is>
      </c>
      <c r="O90" s="4" t="n">
        <v>16957</v>
      </c>
      <c r="P90" s="4" t="n">
        <v>30562</v>
      </c>
      <c r="Q90" s="4" t="n">
        <v>13605</v>
      </c>
      <c r="R90" s="5" t="n">
        <v>1.8</v>
      </c>
      <c r="S90" s="3" t="n">
        <v>80</v>
      </c>
      <c r="T90" s="3" t="n"/>
      <c r="U90" s="4">
        <f>J90-P90</f>
        <v>18430</v>
      </c>
      <c r="V90" s="5">
        <f>ROUND(J90/P90,3)</f>
        <v>1.603</v>
      </c>
      <c r="W90" s="4" t="n"/>
      <c r="X90" s="5">
        <f>ROUND(J90/(I90*4),3)</f>
        <v>2.322</v>
      </c>
      <c r="Y90" s="5">
        <f>ROUND(J90/(H90*4),3)</f>
        <v>2.322</v>
      </c>
      <c r="Z90" t="str">
        <f>IF(J90&gt;P90,"Yes","No")</f>
        <v>Yes</v>
      </c>
      <c r="AA90" s="6">
        <f>RANK(V90,V$2:V$201,0)</f>
        <v>5</v>
      </c>
      <c r="AB90" s="6" t="n"/>
      <c r="AC90" s="3">
        <f>ROUND(L90/J90*100,1)</f>
        <v>16.8</v>
      </c>
      <c r="AD90" s="5">
        <f>ROUND(M90/G90*10000,2)</f>
        <v>0</v>
      </c>
      <c r="AE90" t="inlineStr">
        <is>
          <t>College Scorecard (US Dept. of Education); Nobel Prize API; NCAA; state columns: US Census, Bureau of Economic Analysis</t>
        </is>
      </c>
    </row>
    <row r="91">
      <c r="A91" t="inlineStr">
        <is>
          <t>CUNY Lehman College</t>
        </is>
      </c>
      <c r="B91" t="inlineStr">
        <is>
          <t>NY</t>
        </is>
      </c>
      <c r="C91" t="inlineStr">
        <is>
          <t>New York</t>
        </is>
      </c>
      <c r="D91" t="inlineStr">
        <is>
          <t>Bronx</t>
        </is>
      </c>
      <c r="E91" s="3" t="n">
        <v>56.6</v>
      </c>
      <c r="F91" t="n">
        <v>970</v>
      </c>
      <c r="G91" t="n">
        <v>10696</v>
      </c>
      <c r="H91" s="4" t="n">
        <v>7410</v>
      </c>
      <c r="I91" s="4" t="n">
        <v>15360</v>
      </c>
      <c r="J91" s="4" t="n">
        <v>58013</v>
      </c>
      <c r="K91" s="3" t="n">
        <v>50.3</v>
      </c>
      <c r="L91" s="4" t="n">
        <v>10950</v>
      </c>
      <c r="M91" t="n">
        <v>0</v>
      </c>
      <c r="N91" t="inlineStr">
        <is>
          <t>No</t>
        </is>
      </c>
      <c r="O91" s="4" t="n">
        <v>39771</v>
      </c>
      <c r="P91" s="4" t="n">
        <v>74504</v>
      </c>
      <c r="Q91" s="4" t="n">
        <v>34733</v>
      </c>
      <c r="R91" s="5" t="n">
        <v>1.87</v>
      </c>
      <c r="S91" s="3" t="n">
        <v>87</v>
      </c>
      <c r="T91" s="3" t="n">
        <v>107.9</v>
      </c>
      <c r="U91" s="4">
        <f>J91-P91</f>
        <v>-16491</v>
      </c>
      <c r="V91" s="5">
        <f>ROUND(J91/P91,3)</f>
        <v>0.779</v>
      </c>
      <c r="W91" s="4">
        <f>ROUND(J91/(T91/100),0)</f>
        <v>53766</v>
      </c>
      <c r="X91" s="5">
        <f>ROUND(J91/(I91*4),3)</f>
        <v>0.944</v>
      </c>
      <c r="Y91" s="5">
        <f>ROUND(J91/(H91*4),3)</f>
        <v>1.957</v>
      </c>
      <c r="Z91" t="str">
        <f>IF(J91&gt;P91,"Yes","No")</f>
        <v>No</v>
      </c>
      <c r="AA91" s="6">
        <f>RANK(V91,V$2:V$201,0)</f>
        <v>175</v>
      </c>
      <c r="AB91" s="6">
        <f>RANK(W91,W$2:W$201,0)</f>
        <v>169</v>
      </c>
      <c r="AC91" s="3">
        <f>ROUND(L91/J91*100,1)</f>
        <v>18.9</v>
      </c>
      <c r="AD91" s="5">
        <f>ROUND(M91/G91*10000,2)</f>
        <v>0</v>
      </c>
      <c r="AE91" t="inlineStr">
        <is>
          <t>College Scorecard (US Dept. of Education); Nobel Prize API; NCAA; state columns: US Census, Bureau of Economic Analysis</t>
        </is>
      </c>
    </row>
    <row r="92">
      <c r="A92" t="inlineStr">
        <is>
          <t>CUNY John Jay College of Criminal Justice</t>
        </is>
      </c>
      <c r="B92" t="inlineStr">
        <is>
          <t>NY</t>
        </is>
      </c>
      <c r="C92" t="inlineStr">
        <is>
          <t>New York</t>
        </is>
      </c>
      <c r="D92" t="inlineStr">
        <is>
          <t>New York</t>
        </is>
      </c>
      <c r="E92" s="3" t="n">
        <v>57.1</v>
      </c>
      <c r="F92" t="n">
        <v>1080</v>
      </c>
      <c r="G92" t="n">
        <v>11590</v>
      </c>
      <c r="H92" s="4" t="n">
        <v>7470</v>
      </c>
      <c r="I92" s="4" t="n">
        <v>15420</v>
      </c>
      <c r="J92" s="4" t="n">
        <v>56195</v>
      </c>
      <c r="K92" s="3" t="n">
        <v>55.7</v>
      </c>
      <c r="L92" s="4" t="n">
        <v>11000</v>
      </c>
      <c r="M92" t="n">
        <v>0</v>
      </c>
      <c r="N92" t="inlineStr">
        <is>
          <t>No</t>
        </is>
      </c>
      <c r="O92" s="4" t="n">
        <v>39771</v>
      </c>
      <c r="P92" s="4" t="n">
        <v>74504</v>
      </c>
      <c r="Q92" s="4" t="n">
        <v>34733</v>
      </c>
      <c r="R92" s="5" t="n">
        <v>1.87</v>
      </c>
      <c r="S92" s="3" t="n">
        <v>87</v>
      </c>
      <c r="T92" s="3" t="n">
        <v>107.9</v>
      </c>
      <c r="U92" s="4">
        <f>J92-P92</f>
        <v>-18309</v>
      </c>
      <c r="V92" s="5">
        <f>ROUND(J92/P92,3)</f>
        <v>0.754</v>
      </c>
      <c r="W92" s="4">
        <f>ROUND(J92/(T92/100),0)</f>
        <v>52081</v>
      </c>
      <c r="X92" s="5">
        <f>ROUND(J92/(I92*4),3)</f>
        <v>0.911</v>
      </c>
      <c r="Y92" s="5">
        <f>ROUND(J92/(H92*4),3)</f>
        <v>1.881</v>
      </c>
      <c r="Z92" t="str">
        <f>IF(J92&gt;P92,"Yes","No")</f>
        <v>No</v>
      </c>
      <c r="AA92" s="6">
        <f>RANK(V92,V$2:V$201,0)</f>
        <v>183</v>
      </c>
      <c r="AB92" s="6">
        <f>RANK(W92,W$2:W$201,0)</f>
        <v>175</v>
      </c>
      <c r="AC92" s="3">
        <f>ROUND(L92/J92*100,1)</f>
        <v>19.6</v>
      </c>
      <c r="AD92" s="5">
        <f>ROUND(M92/G92*10000,2)</f>
        <v>0</v>
      </c>
      <c r="AE92" t="inlineStr">
        <is>
          <t>College Scorecard (US Dept. of Education); Nobel Prize API; NCAA; state columns: US Census, Bureau of Economic Analysis</t>
        </is>
      </c>
    </row>
    <row r="93">
      <c r="A93" t="inlineStr">
        <is>
          <t>Texas A&amp;M University-College Station</t>
        </is>
      </c>
      <c r="B93" t="inlineStr">
        <is>
          <t>TX</t>
        </is>
      </c>
      <c r="C93" t="inlineStr">
        <is>
          <t>Texas</t>
        </is>
      </c>
      <c r="D93" t="inlineStr">
        <is>
          <t>College Station</t>
        </is>
      </c>
      <c r="E93" s="3" t="n">
        <v>57.4</v>
      </c>
      <c r="F93" t="n">
        <v>1280</v>
      </c>
      <c r="G93" t="n">
        <v>59615</v>
      </c>
      <c r="H93" s="4" t="n">
        <v>13154</v>
      </c>
      <c r="I93" s="4" t="n">
        <v>40124</v>
      </c>
      <c r="J93" s="4" t="n">
        <v>72097</v>
      </c>
      <c r="K93" s="3" t="n">
        <v>83.90000000000001</v>
      </c>
      <c r="L93" s="4" t="n">
        <v>17804</v>
      </c>
      <c r="M93" t="n">
        <v>0</v>
      </c>
      <c r="N93" t="inlineStr">
        <is>
          <t>No</t>
        </is>
      </c>
      <c r="O93" s="4" t="n">
        <v>37086</v>
      </c>
      <c r="P93" s="4" t="n">
        <v>66474</v>
      </c>
      <c r="Q93" s="4" t="n">
        <v>29388</v>
      </c>
      <c r="R93" s="5" t="n">
        <v>1.79</v>
      </c>
      <c r="S93" s="3" t="n">
        <v>79</v>
      </c>
      <c r="T93" s="3" t="n">
        <v>97.09999999999999</v>
      </c>
      <c r="U93" s="4">
        <f>J93-P93</f>
        <v>5623</v>
      </c>
      <c r="V93" s="5">
        <f>ROUND(J93/P93,3)</f>
        <v>1.085</v>
      </c>
      <c r="W93" s="4">
        <f>ROUND(J93/(T93/100),0)</f>
        <v>74250</v>
      </c>
      <c r="X93" s="5">
        <f>ROUND(J93/(I93*4),3)</f>
        <v>0.449</v>
      </c>
      <c r="Y93" s="5">
        <f>ROUND(J93/(H93*4),3)</f>
        <v>1.37</v>
      </c>
      <c r="Z93" t="str">
        <f>IF(J93&gt;P93,"Yes","No")</f>
        <v>Yes</v>
      </c>
      <c r="AA93" s="6">
        <f>RANK(V93,V$2:V$201,0)</f>
        <v>65</v>
      </c>
      <c r="AB93" s="6">
        <f>RANK(W93,W$2:W$201,0)</f>
        <v>64</v>
      </c>
      <c r="AC93" s="3">
        <f>ROUND(L93/J93*100,1)</f>
        <v>24.7</v>
      </c>
      <c r="AD93" s="5">
        <f>ROUND(M93/G93*10000,2)</f>
        <v>0</v>
      </c>
      <c r="AE93" t="inlineStr">
        <is>
          <t>College Scorecard (US Dept. of Education); Nobel Prize API; NCAA; state columns: US Census, Bureau of Economic Analysis</t>
        </is>
      </c>
    </row>
    <row r="94">
      <c r="A94" t="inlineStr">
        <is>
          <t>Embry-Riddle Aeronautical University-Worldwide</t>
        </is>
      </c>
      <c r="B94" t="inlineStr">
        <is>
          <t>FL</t>
        </is>
      </c>
      <c r="C94" t="inlineStr">
        <is>
          <t>Florida</t>
        </is>
      </c>
      <c r="D94" t="inlineStr">
        <is>
          <t>Daytona Beach</t>
        </is>
      </c>
      <c r="E94" s="3" t="n">
        <v>57.9</v>
      </c>
      <c r="F94" t="n">
        <v>1148</v>
      </c>
      <c r="G94" t="n">
        <v>9139</v>
      </c>
      <c r="H94" s="4" t="n">
        <v>12097</v>
      </c>
      <c r="I94" s="4" t="n">
        <v>12097</v>
      </c>
      <c r="J94" s="4" t="n">
        <v>84131</v>
      </c>
      <c r="K94" s="3" t="n">
        <v>21.1</v>
      </c>
      <c r="L94" s="4" t="n">
        <v>23666</v>
      </c>
      <c r="M94" t="n">
        <v>0</v>
      </c>
      <c r="N94" t="inlineStr">
        <is>
          <t>No</t>
        </is>
      </c>
      <c r="O94" s="4" t="n">
        <v>36384</v>
      </c>
      <c r="P94" s="4" t="n">
        <v>58009</v>
      </c>
      <c r="Q94" s="4" t="n">
        <v>21625</v>
      </c>
      <c r="R94" s="5" t="n">
        <v>1.59</v>
      </c>
      <c r="S94" s="3" t="n">
        <v>59</v>
      </c>
      <c r="T94" s="3" t="n">
        <v>103.4</v>
      </c>
      <c r="U94" s="4">
        <f>J94-P94</f>
        <v>26122</v>
      </c>
      <c r="V94" s="5">
        <f>ROUND(J94/P94,3)</f>
        <v>1.45</v>
      </c>
      <c r="W94" s="4">
        <f>ROUND(J94/(T94/100),0)</f>
        <v>81365</v>
      </c>
      <c r="X94" s="5">
        <f>ROUND(J94/(I94*4),3)</f>
        <v>1.739</v>
      </c>
      <c r="Y94" s="5">
        <f>ROUND(J94/(H94*4),3)</f>
        <v>1.739</v>
      </c>
      <c r="Z94" t="str">
        <f>IF(J94&gt;P94,"Yes","No")</f>
        <v>Yes</v>
      </c>
      <c r="AA94" s="6">
        <f>RANK(V94,V$2:V$201,0)</f>
        <v>11</v>
      </c>
      <c r="AB94" s="6">
        <f>RANK(W94,W$2:W$201,0)</f>
        <v>39</v>
      </c>
      <c r="AC94" s="3">
        <f>ROUND(L94/J94*100,1)</f>
        <v>28.1</v>
      </c>
      <c r="AD94" s="5">
        <f>ROUND(M94/G94*10000,2)</f>
        <v>0</v>
      </c>
      <c r="AE94" t="inlineStr">
        <is>
          <t>College Scorecard (US Dept. of Education); Nobel Prize API; NCAA; state columns: US Census, Bureau of Economic Analysis</t>
        </is>
      </c>
    </row>
    <row r="95">
      <c r="A95" t="inlineStr">
        <is>
          <t>Alabama A &amp; M University</t>
        </is>
      </c>
      <c r="B95" t="inlineStr">
        <is>
          <t>AL</t>
        </is>
      </c>
      <c r="C95" t="inlineStr">
        <is>
          <t>Alabama</t>
        </is>
      </c>
      <c r="D95" t="inlineStr">
        <is>
          <t>Normal</t>
        </is>
      </c>
      <c r="E95" s="3" t="n">
        <v>58</v>
      </c>
      <c r="F95" t="n">
        <v>938</v>
      </c>
      <c r="G95" t="n">
        <v>6124</v>
      </c>
      <c r="H95" s="4" t="n">
        <v>10024</v>
      </c>
      <c r="I95" s="4" t="n">
        <v>18634</v>
      </c>
      <c r="J95" s="4" t="n">
        <v>40628</v>
      </c>
      <c r="K95" s="3" t="n">
        <v>26.3</v>
      </c>
      <c r="L95" s="4" t="n">
        <v>31000</v>
      </c>
      <c r="M95" t="n">
        <v>0</v>
      </c>
      <c r="N95" t="inlineStr">
        <is>
          <t>No</t>
        </is>
      </c>
      <c r="O95" s="4" t="n">
        <v>36615</v>
      </c>
      <c r="P95" s="4" t="n">
        <v>60156</v>
      </c>
      <c r="Q95" s="4" t="n">
        <v>23541</v>
      </c>
      <c r="R95" s="5" t="n">
        <v>1.64</v>
      </c>
      <c r="S95" s="3" t="n">
        <v>64</v>
      </c>
      <c r="T95" s="3" t="n">
        <v>88.8</v>
      </c>
      <c r="U95" s="4">
        <f>J95-P95</f>
        <v>-19528</v>
      </c>
      <c r="V95" s="5">
        <f>ROUND(J95/P95,3)</f>
        <v>0.675</v>
      </c>
      <c r="W95" s="4">
        <f>ROUND(J95/(T95/100),0)</f>
        <v>45752</v>
      </c>
      <c r="X95" s="5">
        <f>ROUND(J95/(I95*4),3)</f>
        <v>0.545</v>
      </c>
      <c r="Y95" s="5">
        <f>ROUND(J95/(H95*4),3)</f>
        <v>1.013</v>
      </c>
      <c r="Z95" t="str">
        <f>IF(J95&gt;P95,"Yes","No")</f>
        <v>No</v>
      </c>
      <c r="AA95" s="6">
        <f>RANK(V95,V$2:V$201,0)</f>
        <v>196</v>
      </c>
      <c r="AB95" s="6">
        <f>RANK(W95,W$2:W$201,0)</f>
        <v>194</v>
      </c>
      <c r="AC95" s="3">
        <f>ROUND(L95/J95*100,1)</f>
        <v>76.3</v>
      </c>
      <c r="AD95" s="5">
        <f>ROUND(M95/G95*10000,2)</f>
        <v>0</v>
      </c>
      <c r="AE95" t="inlineStr">
        <is>
          <t>College Scorecard (US Dept. of Education); Nobel Prize API; NCAA; state columns: US Census, Bureau of Economic Analysis</t>
        </is>
      </c>
    </row>
    <row r="96">
      <c r="A96" t="inlineStr">
        <is>
          <t>University of Pittsburgh-Pittsburgh Campus</t>
        </is>
      </c>
      <c r="B96" t="inlineStr">
        <is>
          <t>PA</t>
        </is>
      </c>
      <c r="C96" t="inlineStr">
        <is>
          <t>Pennsylvania</t>
        </is>
      </c>
      <c r="D96" t="inlineStr">
        <is>
          <t>Pittsburgh</t>
        </is>
      </c>
      <c r="E96" s="3" t="n">
        <v>58.1</v>
      </c>
      <c r="F96" t="n">
        <v>1370</v>
      </c>
      <c r="G96" t="n">
        <v>20370</v>
      </c>
      <c r="H96" s="4" t="n">
        <v>21926</v>
      </c>
      <c r="I96" s="4" t="n">
        <v>41430</v>
      </c>
      <c r="J96" s="4" t="n">
        <v>66125</v>
      </c>
      <c r="K96" s="3" t="n">
        <v>84.90000000000001</v>
      </c>
      <c r="L96" s="4" t="n">
        <v>24250</v>
      </c>
      <c r="M96" t="n">
        <v>0</v>
      </c>
      <c r="N96" t="inlineStr">
        <is>
          <t>No</t>
        </is>
      </c>
      <c r="O96" s="4" t="n">
        <v>40336</v>
      </c>
      <c r="P96" s="4" t="n">
        <v>65678</v>
      </c>
      <c r="Q96" s="4" t="n">
        <v>25342</v>
      </c>
      <c r="R96" s="5" t="n">
        <v>1.63</v>
      </c>
      <c r="S96" s="3" t="n">
        <v>63</v>
      </c>
      <c r="T96" s="3" t="n">
        <v>97.59999999999999</v>
      </c>
      <c r="U96" s="4">
        <f>J96-P96</f>
        <v>447</v>
      </c>
      <c r="V96" s="5">
        <f>ROUND(J96/P96,3)</f>
        <v>1.007</v>
      </c>
      <c r="W96" s="4">
        <f>ROUND(J96/(T96/100),0)</f>
        <v>67751</v>
      </c>
      <c r="X96" s="5">
        <f>ROUND(J96/(I96*4),3)</f>
        <v>0.399</v>
      </c>
      <c r="Y96" s="5">
        <f>ROUND(J96/(H96*4),3)</f>
        <v>0.754</v>
      </c>
      <c r="Z96" t="str">
        <f>IF(J96&gt;P96,"Yes","No")</f>
        <v>Yes</v>
      </c>
      <c r="AA96" s="6">
        <f>RANK(V96,V$2:V$201,0)</f>
        <v>96</v>
      </c>
      <c r="AB96" s="6">
        <f>RANK(W96,W$2:W$201,0)</f>
        <v>100</v>
      </c>
      <c r="AC96" s="3">
        <f>ROUND(L96/J96*100,1)</f>
        <v>36.7</v>
      </c>
      <c r="AD96" s="5">
        <f>ROUND(M96/G96*10000,2)</f>
        <v>0</v>
      </c>
      <c r="AE96" t="inlineStr">
        <is>
          <t>College Scorecard (US Dept. of Education); Nobel Prize API; NCAA; state columns: US Census, Bureau of Economic Analysis</t>
        </is>
      </c>
    </row>
    <row r="97">
      <c r="A97" t="inlineStr">
        <is>
          <t>Rutgers University-New Brunswick</t>
        </is>
      </c>
      <c r="B97" t="inlineStr">
        <is>
          <t>NJ</t>
        </is>
      </c>
      <c r="C97" t="inlineStr">
        <is>
          <t>New Jersey</t>
        </is>
      </c>
      <c r="D97" t="inlineStr">
        <is>
          <t>New Brunswick</t>
        </is>
      </c>
      <c r="E97" s="3" t="n">
        <v>58.1</v>
      </c>
      <c r="F97" t="n">
        <v>1410</v>
      </c>
      <c r="G97" t="n">
        <v>37751</v>
      </c>
      <c r="H97" s="4" t="n">
        <v>17929</v>
      </c>
      <c r="I97" s="4" t="n">
        <v>37441</v>
      </c>
      <c r="J97" s="4" t="n">
        <v>74479</v>
      </c>
      <c r="K97" s="3" t="n">
        <v>84.3</v>
      </c>
      <c r="L97" s="4" t="n">
        <v>21500</v>
      </c>
      <c r="M97" t="n">
        <v>1</v>
      </c>
      <c r="N97" t="inlineStr">
        <is>
          <t>No</t>
        </is>
      </c>
      <c r="O97" s="4" t="n">
        <v>41528</v>
      </c>
      <c r="P97" s="4" t="n">
        <v>80114</v>
      </c>
      <c r="Q97" s="4" t="n">
        <v>38586</v>
      </c>
      <c r="R97" s="5" t="n">
        <v>1.93</v>
      </c>
      <c r="S97" s="3" t="n">
        <v>93</v>
      </c>
      <c r="T97" s="3" t="n">
        <v>108.8</v>
      </c>
      <c r="U97" s="4">
        <f>J97-P97</f>
        <v>-5635</v>
      </c>
      <c r="V97" s="5">
        <f>ROUND(J97/P97,3)</f>
        <v>0.93</v>
      </c>
      <c r="W97" s="4">
        <f>ROUND(J97/(T97/100),0)</f>
        <v>68455</v>
      </c>
      <c r="X97" s="5">
        <f>ROUND(J97/(I97*4),3)</f>
        <v>0.497</v>
      </c>
      <c r="Y97" s="5">
        <f>ROUND(J97/(H97*4),3)</f>
        <v>1.039</v>
      </c>
      <c r="Z97" t="str">
        <f>IF(J97&gt;P97,"Yes","No")</f>
        <v>No</v>
      </c>
      <c r="AA97" s="6">
        <f>RANK(V97,V$2:V$201,0)</f>
        <v>131</v>
      </c>
      <c r="AB97" s="6">
        <f>RANK(W97,W$2:W$201,0)</f>
        <v>96</v>
      </c>
      <c r="AC97" s="3">
        <f>ROUND(L97/J97*100,1)</f>
        <v>28.9</v>
      </c>
      <c r="AD97" s="5">
        <f>ROUND(M97/G97*10000,2)</f>
        <v>0.26</v>
      </c>
      <c r="AE97" t="inlineStr">
        <is>
          <t>College Scorecard (US Dept. of Education); Nobel Prize API; NCAA; state columns: US Census, Bureau of Economic Analysis</t>
        </is>
      </c>
    </row>
    <row r="98">
      <c r="A98" t="inlineStr">
        <is>
          <t>University of West Florida</t>
        </is>
      </c>
      <c r="B98" t="inlineStr">
        <is>
          <t>FL</t>
        </is>
      </c>
      <c r="C98" t="inlineStr">
        <is>
          <t>Florida</t>
        </is>
      </c>
      <c r="D98" t="inlineStr">
        <is>
          <t>Pensacola</t>
        </is>
      </c>
      <c r="E98" s="3" t="n">
        <v>58.2</v>
      </c>
      <c r="F98" t="n">
        <v>1138</v>
      </c>
      <c r="G98" t="n">
        <v>9330</v>
      </c>
      <c r="H98" s="4" t="n">
        <v>6360</v>
      </c>
      <c r="I98" s="4" t="n">
        <v>19241</v>
      </c>
      <c r="J98" s="4" t="n">
        <v>49137</v>
      </c>
      <c r="K98" s="3" t="n">
        <v>60.3</v>
      </c>
      <c r="L98" s="4" t="n">
        <v>16624</v>
      </c>
      <c r="M98" t="n">
        <v>0</v>
      </c>
      <c r="N98" t="inlineStr">
        <is>
          <t>No</t>
        </is>
      </c>
      <c r="O98" s="4" t="n">
        <v>36384</v>
      </c>
      <c r="P98" s="4" t="n">
        <v>58009</v>
      </c>
      <c r="Q98" s="4" t="n">
        <v>21625</v>
      </c>
      <c r="R98" s="5" t="n">
        <v>1.59</v>
      </c>
      <c r="S98" s="3" t="n">
        <v>59</v>
      </c>
      <c r="T98" s="3" t="n">
        <v>103.4</v>
      </c>
      <c r="U98" s="4">
        <f>J98-P98</f>
        <v>-8872</v>
      </c>
      <c r="V98" s="5">
        <f>ROUND(J98/P98,3)</f>
        <v>0.847</v>
      </c>
      <c r="W98" s="4">
        <f>ROUND(J98/(T98/100),0)</f>
        <v>47521</v>
      </c>
      <c r="X98" s="5">
        <f>ROUND(J98/(I98*4),3)</f>
        <v>0.638</v>
      </c>
      <c r="Y98" s="5">
        <f>ROUND(J98/(H98*4),3)</f>
        <v>1.931</v>
      </c>
      <c r="Z98" t="str">
        <f>IF(J98&gt;P98,"Yes","No")</f>
        <v>No</v>
      </c>
      <c r="AA98" s="6">
        <f>RANK(V98,V$2:V$201,0)</f>
        <v>154</v>
      </c>
      <c r="AB98" s="6">
        <f>RANK(W98,W$2:W$201,0)</f>
        <v>192</v>
      </c>
      <c r="AC98" s="3">
        <f>ROUND(L98/J98*100,1)</f>
        <v>33.8</v>
      </c>
      <c r="AD98" s="5">
        <f>ROUND(M98/G98*10000,2)</f>
        <v>0</v>
      </c>
      <c r="AE98" t="inlineStr">
        <is>
          <t>College Scorecard (US Dept. of Education); Nobel Prize API; NCAA; state columns: US Census, Bureau of Economic Analysis</t>
        </is>
      </c>
    </row>
    <row r="99">
      <c r="A99" t="inlineStr">
        <is>
          <t>CUNY Brooklyn College</t>
        </is>
      </c>
      <c r="B99" t="inlineStr">
        <is>
          <t>NY</t>
        </is>
      </c>
      <c r="C99" t="inlineStr">
        <is>
          <t>New York</t>
        </is>
      </c>
      <c r="D99" t="inlineStr">
        <is>
          <t>Brooklyn</t>
        </is>
      </c>
      <c r="E99" s="3" t="n">
        <v>58.4</v>
      </c>
      <c r="F99" t="n">
        <v>1140</v>
      </c>
      <c r="G99" t="n">
        <v>10543</v>
      </c>
      <c r="H99" s="4" t="n">
        <v>7452</v>
      </c>
      <c r="I99" s="4" t="n">
        <v>15402</v>
      </c>
      <c r="J99" s="4" t="n">
        <v>60752</v>
      </c>
      <c r="K99" s="3" t="n">
        <v>55.2</v>
      </c>
      <c r="L99" s="4" t="n">
        <v>11000</v>
      </c>
      <c r="M99" t="n">
        <v>0</v>
      </c>
      <c r="N99" t="inlineStr">
        <is>
          <t>No</t>
        </is>
      </c>
      <c r="O99" s="4" t="n">
        <v>39771</v>
      </c>
      <c r="P99" s="4" t="n">
        <v>74504</v>
      </c>
      <c r="Q99" s="4" t="n">
        <v>34733</v>
      </c>
      <c r="R99" s="5" t="n">
        <v>1.87</v>
      </c>
      <c r="S99" s="3" t="n">
        <v>87</v>
      </c>
      <c r="T99" s="3" t="n">
        <v>107.9</v>
      </c>
      <c r="U99" s="4">
        <f>J99-P99</f>
        <v>-13752</v>
      </c>
      <c r="V99" s="5">
        <f>ROUND(J99/P99,3)</f>
        <v>0.8149999999999999</v>
      </c>
      <c r="W99" s="4">
        <f>ROUND(J99/(T99/100),0)</f>
        <v>56304</v>
      </c>
      <c r="X99" s="5">
        <f>ROUND(J99/(I99*4),3)</f>
        <v>0.986</v>
      </c>
      <c r="Y99" s="5">
        <f>ROUND(J99/(H99*4),3)</f>
        <v>2.038</v>
      </c>
      <c r="Z99" t="str">
        <f>IF(J99&gt;P99,"Yes","No")</f>
        <v>No</v>
      </c>
      <c r="AA99" s="6">
        <f>RANK(V99,V$2:V$201,0)</f>
        <v>162</v>
      </c>
      <c r="AB99" s="6">
        <f>RANK(W99,W$2:W$201,0)</f>
        <v>157</v>
      </c>
      <c r="AC99" s="3">
        <f>ROUND(L99/J99*100,1)</f>
        <v>18.1</v>
      </c>
      <c r="AD99" s="5">
        <f>ROUND(M99/G99*10000,2)</f>
        <v>0</v>
      </c>
      <c r="AE99" t="inlineStr">
        <is>
          <t>College Scorecard (US Dept. of Education); Nobel Prize API; NCAA; state columns: US Census, Bureau of Economic Analysis</t>
        </is>
      </c>
    </row>
    <row r="100">
      <c r="A100" t="inlineStr">
        <is>
          <t>Fordham University</t>
        </is>
      </c>
      <c r="B100" t="inlineStr">
        <is>
          <t>NY</t>
        </is>
      </c>
      <c r="C100" t="inlineStr">
        <is>
          <t>New York</t>
        </is>
      </c>
      <c r="D100" t="inlineStr">
        <is>
          <t>Bronx</t>
        </is>
      </c>
      <c r="E100" s="3" t="n">
        <v>59.3</v>
      </c>
      <c r="F100" t="n">
        <v>1418</v>
      </c>
      <c r="G100" t="n">
        <v>10512</v>
      </c>
      <c r="H100" s="4" t="n">
        <v>64915</v>
      </c>
      <c r="I100" s="4" t="n">
        <v>64915</v>
      </c>
      <c r="J100" s="4" t="n">
        <v>85569</v>
      </c>
      <c r="K100" s="3" t="n">
        <v>81.09999999999999</v>
      </c>
      <c r="L100" s="4" t="n">
        <v>24300</v>
      </c>
      <c r="M100" t="n">
        <v>0</v>
      </c>
      <c r="N100" t="inlineStr">
        <is>
          <t>No</t>
        </is>
      </c>
      <c r="O100" s="4" t="n">
        <v>39771</v>
      </c>
      <c r="P100" s="4" t="n">
        <v>74504</v>
      </c>
      <c r="Q100" s="4" t="n">
        <v>34733</v>
      </c>
      <c r="R100" s="5" t="n">
        <v>1.87</v>
      </c>
      <c r="S100" s="3" t="n">
        <v>87</v>
      </c>
      <c r="T100" s="3" t="n">
        <v>107.9</v>
      </c>
      <c r="U100" s="4">
        <f>J100-P100</f>
        <v>11065</v>
      </c>
      <c r="V100" s="5">
        <f>ROUND(J100/P100,3)</f>
        <v>1.149</v>
      </c>
      <c r="W100" s="4">
        <f>ROUND(J100/(T100/100),0)</f>
        <v>79304</v>
      </c>
      <c r="X100" s="5">
        <f>ROUND(J100/(I100*4),3)</f>
        <v>0.33</v>
      </c>
      <c r="Y100" s="5">
        <f>ROUND(J100/(H100*4),3)</f>
        <v>0.33</v>
      </c>
      <c r="Z100" t="str">
        <f>IF(J100&gt;P100,"Yes","No")</f>
        <v>Yes</v>
      </c>
      <c r="AA100" s="6">
        <f>RANK(V100,V$2:V$201,0)</f>
        <v>49</v>
      </c>
      <c r="AB100" s="6">
        <f>RANK(W100,W$2:W$201,0)</f>
        <v>46</v>
      </c>
      <c r="AC100" s="3">
        <f>ROUND(L100/J100*100,1)</f>
        <v>28.4</v>
      </c>
      <c r="AD100" s="5">
        <f>ROUND(M100/G100*10000,2)</f>
        <v>0</v>
      </c>
      <c r="AE100" t="inlineStr">
        <is>
          <t>College Scorecard (US Dept. of Education); Nobel Prize API; NCAA; state columns: US Census, Bureau of Economic Analysis</t>
        </is>
      </c>
    </row>
    <row r="101">
      <c r="A101" t="inlineStr">
        <is>
          <t>University of Akron Main Campus</t>
        </is>
      </c>
      <c r="B101" t="inlineStr">
        <is>
          <t>OH</t>
        </is>
      </c>
      <c r="C101" t="inlineStr">
        <is>
          <t>Ohio</t>
        </is>
      </c>
      <c r="D101" t="inlineStr">
        <is>
          <t>Akron</t>
        </is>
      </c>
      <c r="E101" s="3" t="n">
        <v>59.7</v>
      </c>
      <c r="F101" t="n">
        <v>1081</v>
      </c>
      <c r="G101" t="n">
        <v>9052</v>
      </c>
      <c r="H101" s="4" t="n">
        <v>13135</v>
      </c>
      <c r="I101" s="4" t="n">
        <v>20815</v>
      </c>
      <c r="J101" s="4" t="n">
        <v>46600</v>
      </c>
      <c r="K101" s="3" t="n">
        <v>49.8</v>
      </c>
      <c r="L101" s="4" t="n">
        <v>23250</v>
      </c>
      <c r="M101" t="n">
        <v>0</v>
      </c>
      <c r="N101" t="inlineStr">
        <is>
          <t>Yes</t>
        </is>
      </c>
      <c r="O101" s="4" t="n">
        <v>37990</v>
      </c>
      <c r="P101" s="4" t="n">
        <v>64933</v>
      </c>
      <c r="Q101" s="4" t="n">
        <v>26943</v>
      </c>
      <c r="R101" s="5" t="n">
        <v>1.71</v>
      </c>
      <c r="S101" s="3" t="n">
        <v>71</v>
      </c>
      <c r="T101" s="3" t="n">
        <v>92.8</v>
      </c>
      <c r="U101" s="4">
        <f>J101-P101</f>
        <v>-18333</v>
      </c>
      <c r="V101" s="5">
        <f>ROUND(J101/P101,3)</f>
        <v>0.718</v>
      </c>
      <c r="W101" s="4">
        <f>ROUND(J101/(T101/100),0)</f>
        <v>50216</v>
      </c>
      <c r="X101" s="5">
        <f>ROUND(J101/(I101*4),3)</f>
        <v>0.5600000000000001</v>
      </c>
      <c r="Y101" s="5">
        <f>ROUND(J101/(H101*4),3)</f>
        <v>0.887</v>
      </c>
      <c r="Z101" t="str">
        <f>IF(J101&gt;P101,"Yes","No")</f>
        <v>No</v>
      </c>
      <c r="AA101" s="6">
        <f>RANK(V101,V$2:V$201,0)</f>
        <v>189</v>
      </c>
      <c r="AB101" s="6">
        <f>RANK(W101,W$2:W$201,0)</f>
        <v>185</v>
      </c>
      <c r="AC101" s="3">
        <f>ROUND(L101/J101*100,1)</f>
        <v>49.9</v>
      </c>
      <c r="AD101" s="5">
        <f>ROUND(M101/G101*10000,2)</f>
        <v>0</v>
      </c>
      <c r="AE101" t="inlineStr">
        <is>
          <t>College Scorecard (US Dept. of Education); Nobel Prize API; NCAA; state columns: US Census, Bureau of Economic Analysis</t>
        </is>
      </c>
    </row>
    <row r="102">
      <c r="A102" t="inlineStr">
        <is>
          <t>University of Massachusetts-Amherst</t>
        </is>
      </c>
      <c r="B102" t="inlineStr">
        <is>
          <t>MA</t>
        </is>
      </c>
      <c r="C102" t="inlineStr">
        <is>
          <t>Massachusetts</t>
        </is>
      </c>
      <c r="D102" t="inlineStr">
        <is>
          <t>Amherst</t>
        </is>
      </c>
      <c r="E102" s="3" t="n">
        <v>59.7</v>
      </c>
      <c r="F102" t="n">
        <v>1423</v>
      </c>
      <c r="G102" t="n">
        <v>23671</v>
      </c>
      <c r="H102" s="4" t="n">
        <v>17772</v>
      </c>
      <c r="I102" s="4" t="n">
        <v>40449</v>
      </c>
      <c r="J102" s="4" t="n">
        <v>71631</v>
      </c>
      <c r="K102" s="3" t="n">
        <v>83.2</v>
      </c>
      <c r="L102" s="4" t="n">
        <v>22763</v>
      </c>
      <c r="M102" t="n">
        <v>0</v>
      </c>
      <c r="N102" t="inlineStr">
        <is>
          <t>No</t>
        </is>
      </c>
      <c r="O102" s="4" t="n">
        <v>43761</v>
      </c>
      <c r="P102" s="4" t="n">
        <v>79985</v>
      </c>
      <c r="Q102" s="4" t="n">
        <v>36224</v>
      </c>
      <c r="R102" s="5" t="n">
        <v>1.83</v>
      </c>
      <c r="S102" s="3" t="n">
        <v>83</v>
      </c>
      <c r="T102" s="3" t="n">
        <v>105.8</v>
      </c>
      <c r="U102" s="4">
        <f>J102-P102</f>
        <v>-8354</v>
      </c>
      <c r="V102" s="5">
        <f>ROUND(J102/P102,3)</f>
        <v>0.896</v>
      </c>
      <c r="W102" s="4">
        <f>ROUND(J102/(T102/100),0)</f>
        <v>67704</v>
      </c>
      <c r="X102" s="5">
        <f>ROUND(J102/(I102*4),3)</f>
        <v>0.443</v>
      </c>
      <c r="Y102" s="5">
        <f>ROUND(J102/(H102*4),3)</f>
        <v>1.008</v>
      </c>
      <c r="Z102" t="str">
        <f>IF(J102&gt;P102,"Yes","No")</f>
        <v>No</v>
      </c>
      <c r="AA102" s="6">
        <f>RANK(V102,V$2:V$201,0)</f>
        <v>142</v>
      </c>
      <c r="AB102" s="6">
        <f>RANK(W102,W$2:W$201,0)</f>
        <v>101</v>
      </c>
      <c r="AC102" s="3">
        <f>ROUND(L102/J102*100,1)</f>
        <v>31.8</v>
      </c>
      <c r="AD102" s="5">
        <f>ROUND(M102/G102*10000,2)</f>
        <v>0</v>
      </c>
      <c r="AE102" t="inlineStr">
        <is>
          <t>College Scorecard (US Dept. of Education); Nobel Prize API; NCAA; state columns: US Census, Bureau of Economic Analysis</t>
        </is>
      </c>
    </row>
    <row r="103">
      <c r="A103" t="inlineStr">
        <is>
          <t>State University of New York at Cortland</t>
        </is>
      </c>
      <c r="B103" t="inlineStr">
        <is>
          <t>NY</t>
        </is>
      </c>
      <c r="C103" t="inlineStr">
        <is>
          <t>New York</t>
        </is>
      </c>
      <c r="D103" t="inlineStr">
        <is>
          <t>Cortland</t>
        </is>
      </c>
      <c r="E103" s="3" t="n">
        <v>59.8</v>
      </c>
      <c r="G103" t="n">
        <v>5901</v>
      </c>
      <c r="H103" s="4" t="n">
        <v>8874</v>
      </c>
      <c r="I103" s="4" t="n">
        <v>18784</v>
      </c>
      <c r="J103" s="4" t="n">
        <v>60236</v>
      </c>
      <c r="K103" s="3" t="n">
        <v>68.09999999999999</v>
      </c>
      <c r="L103" s="4" t="n">
        <v>21500</v>
      </c>
      <c r="M103" t="n">
        <v>0</v>
      </c>
      <c r="N103" t="inlineStr">
        <is>
          <t>No</t>
        </is>
      </c>
      <c r="O103" s="4" t="n">
        <v>39771</v>
      </c>
      <c r="P103" s="4" t="n">
        <v>74504</v>
      </c>
      <c r="Q103" s="4" t="n">
        <v>34733</v>
      </c>
      <c r="R103" s="5" t="n">
        <v>1.87</v>
      </c>
      <c r="S103" s="3" t="n">
        <v>87</v>
      </c>
      <c r="T103" s="3" t="n">
        <v>107.9</v>
      </c>
      <c r="U103" s="4">
        <f>J103-P103</f>
        <v>-14268</v>
      </c>
      <c r="V103" s="5">
        <f>ROUND(J103/P103,3)</f>
        <v>0.8080000000000001</v>
      </c>
      <c r="W103" s="4">
        <f>ROUND(J103/(T103/100),0)</f>
        <v>55826</v>
      </c>
      <c r="X103" s="5">
        <f>ROUND(J103/(I103*4),3)</f>
        <v>0.802</v>
      </c>
      <c r="Y103" s="5">
        <f>ROUND(J103/(H103*4),3)</f>
        <v>1.697</v>
      </c>
      <c r="Z103" t="str">
        <f>IF(J103&gt;P103,"Yes","No")</f>
        <v>No</v>
      </c>
      <c r="AA103" s="6">
        <f>RANK(V103,V$2:V$201,0)</f>
        <v>165</v>
      </c>
      <c r="AB103" s="6">
        <f>RANK(W103,W$2:W$201,0)</f>
        <v>159</v>
      </c>
      <c r="AC103" s="3">
        <f>ROUND(L103/J103*100,1)</f>
        <v>35.7</v>
      </c>
      <c r="AD103" s="5">
        <f>ROUND(M103/G103*10000,2)</f>
        <v>0</v>
      </c>
      <c r="AE103" t="inlineStr">
        <is>
          <t>College Scorecard (US Dept. of Education); Nobel Prize API; NCAA; state columns: US Census, Bureau of Economic Analysis</t>
        </is>
      </c>
    </row>
    <row r="104">
      <c r="A104" t="inlineStr">
        <is>
          <t>CUNY City College</t>
        </is>
      </c>
      <c r="B104" t="inlineStr">
        <is>
          <t>NY</t>
        </is>
      </c>
      <c r="C104" t="inlineStr">
        <is>
          <t>New York</t>
        </is>
      </c>
      <c r="D104" t="inlineStr">
        <is>
          <t>New York</t>
        </is>
      </c>
      <c r="E104" s="3" t="n">
        <v>60</v>
      </c>
      <c r="F104" t="n">
        <v>1260</v>
      </c>
      <c r="G104" t="n">
        <v>12505</v>
      </c>
      <c r="H104" s="4" t="n">
        <v>7340</v>
      </c>
      <c r="I104" s="4" t="n">
        <v>15290</v>
      </c>
      <c r="J104" s="4" t="n">
        <v>66039</v>
      </c>
      <c r="K104" s="3" t="n">
        <v>55.8</v>
      </c>
      <c r="L104" s="4" t="n">
        <v>11990</v>
      </c>
      <c r="M104" t="n">
        <v>0</v>
      </c>
      <c r="N104" t="inlineStr">
        <is>
          <t>No</t>
        </is>
      </c>
      <c r="O104" s="4" t="n">
        <v>39771</v>
      </c>
      <c r="P104" s="4" t="n">
        <v>74504</v>
      </c>
      <c r="Q104" s="4" t="n">
        <v>34733</v>
      </c>
      <c r="R104" s="5" t="n">
        <v>1.87</v>
      </c>
      <c r="S104" s="3" t="n">
        <v>87</v>
      </c>
      <c r="T104" s="3" t="n">
        <v>107.9</v>
      </c>
      <c r="U104" s="4">
        <f>J104-P104</f>
        <v>-8465</v>
      </c>
      <c r="V104" s="5">
        <f>ROUND(J104/P104,3)</f>
        <v>0.886</v>
      </c>
      <c r="W104" s="4">
        <f>ROUND(J104/(T104/100),0)</f>
        <v>61204</v>
      </c>
      <c r="X104" s="5">
        <f>ROUND(J104/(I104*4),3)</f>
        <v>1.08</v>
      </c>
      <c r="Y104" s="5">
        <f>ROUND(J104/(H104*4),3)</f>
        <v>2.249</v>
      </c>
      <c r="Z104" t="str">
        <f>IF(J104&gt;P104,"Yes","No")</f>
        <v>No</v>
      </c>
      <c r="AA104" s="6">
        <f>RANK(V104,V$2:V$201,0)</f>
        <v>144</v>
      </c>
      <c r="AB104" s="6">
        <f>RANK(W104,W$2:W$201,0)</f>
        <v>131</v>
      </c>
      <c r="AC104" s="3">
        <f>ROUND(L104/J104*100,1)</f>
        <v>18.2</v>
      </c>
      <c r="AD104" s="5">
        <f>ROUND(M104/G104*10000,2)</f>
        <v>0</v>
      </c>
      <c r="AE104" t="inlineStr">
        <is>
          <t>College Scorecard (US Dept. of Education); Nobel Prize API; NCAA; state columns: US Census, Bureau of Economic Analysis</t>
        </is>
      </c>
    </row>
    <row r="105">
      <c r="A105" t="inlineStr">
        <is>
          <t>College of Charleston</t>
        </is>
      </c>
      <c r="B105" t="inlineStr">
        <is>
          <t>SC</t>
        </is>
      </c>
      <c r="C105" t="inlineStr">
        <is>
          <t>South Carolina</t>
        </is>
      </c>
      <c r="D105" t="inlineStr">
        <is>
          <t>Charleston</t>
        </is>
      </c>
      <c r="E105" s="3" t="n">
        <v>60</v>
      </c>
      <c r="F105" t="n">
        <v>1247</v>
      </c>
      <c r="G105" t="n">
        <v>10558</v>
      </c>
      <c r="H105" s="4" t="n">
        <v>12978</v>
      </c>
      <c r="I105" s="4" t="n">
        <v>38296</v>
      </c>
      <c r="J105" s="4" t="n">
        <v>56416</v>
      </c>
      <c r="K105" s="3" t="n">
        <v>65.40000000000001</v>
      </c>
      <c r="L105" s="4" t="n">
        <v>23250</v>
      </c>
      <c r="M105" t="n">
        <v>0</v>
      </c>
      <c r="N105" t="inlineStr">
        <is>
          <t>No</t>
        </is>
      </c>
      <c r="O105" s="4" t="n">
        <v>36740</v>
      </c>
      <c r="P105" s="4" t="n">
        <v>60590</v>
      </c>
      <c r="Q105" s="4" t="n">
        <v>23850</v>
      </c>
      <c r="R105" s="5" t="n">
        <v>1.65</v>
      </c>
      <c r="S105" s="3" t="n">
        <v>65</v>
      </c>
      <c r="T105" s="3" t="n">
        <v>93.7</v>
      </c>
      <c r="U105" s="4">
        <f>J105-P105</f>
        <v>-4174</v>
      </c>
      <c r="V105" s="5">
        <f>ROUND(J105/P105,3)</f>
        <v>0.931</v>
      </c>
      <c r="W105" s="4">
        <f>ROUND(J105/(T105/100),0)</f>
        <v>60209</v>
      </c>
      <c r="X105" s="5">
        <f>ROUND(J105/(I105*4),3)</f>
        <v>0.368</v>
      </c>
      <c r="Y105" s="5">
        <f>ROUND(J105/(H105*4),3)</f>
        <v>1.087</v>
      </c>
      <c r="Z105" t="str">
        <f>IF(J105&gt;P105,"Yes","No")</f>
        <v>No</v>
      </c>
      <c r="AA105" s="6">
        <f>RANK(V105,V$2:V$201,0)</f>
        <v>130</v>
      </c>
      <c r="AB105" s="6">
        <f>RANK(W105,W$2:W$201,0)</f>
        <v>134</v>
      </c>
      <c r="AC105" s="3">
        <f>ROUND(L105/J105*100,1)</f>
        <v>41.2</v>
      </c>
      <c r="AD105" s="5">
        <f>ROUND(M105/G105*10000,2)</f>
        <v>0</v>
      </c>
      <c r="AE105" t="inlineStr">
        <is>
          <t>College Scorecard (US Dept. of Education); Nobel Prize API; NCAA; state columns: US Census, Bureau of Economic Analysis</t>
        </is>
      </c>
    </row>
    <row r="106">
      <c r="A106" t="inlineStr">
        <is>
          <t>University of South Carolina-Columbia</t>
        </is>
      </c>
      <c r="B106" t="inlineStr">
        <is>
          <t>SC</t>
        </is>
      </c>
      <c r="C106" t="inlineStr">
        <is>
          <t>South Carolina</t>
        </is>
      </c>
      <c r="D106" t="inlineStr">
        <is>
          <t>Columbia</t>
        </is>
      </c>
      <c r="E106" s="3" t="n">
        <v>60.2</v>
      </c>
      <c r="F106" t="n">
        <v>1297</v>
      </c>
      <c r="G106" t="n">
        <v>29820</v>
      </c>
      <c r="H106" s="4" t="n">
        <v>12688</v>
      </c>
      <c r="I106" s="4" t="n">
        <v>35972</v>
      </c>
      <c r="J106" s="4" t="n">
        <v>62177</v>
      </c>
      <c r="K106" s="3" t="n">
        <v>78.3</v>
      </c>
      <c r="L106" s="4" t="n">
        <v>21500</v>
      </c>
      <c r="M106" t="n">
        <v>0</v>
      </c>
      <c r="N106" t="inlineStr">
        <is>
          <t>No</t>
        </is>
      </c>
      <c r="O106" s="4" t="n">
        <v>36740</v>
      </c>
      <c r="P106" s="4" t="n">
        <v>60590</v>
      </c>
      <c r="Q106" s="4" t="n">
        <v>23850</v>
      </c>
      <c r="R106" s="5" t="n">
        <v>1.65</v>
      </c>
      <c r="S106" s="3" t="n">
        <v>65</v>
      </c>
      <c r="T106" s="3" t="n">
        <v>93.7</v>
      </c>
      <c r="U106" s="4">
        <f>J106-P106</f>
        <v>1587</v>
      </c>
      <c r="V106" s="5">
        <f>ROUND(J106/P106,3)</f>
        <v>1.026</v>
      </c>
      <c r="W106" s="4">
        <f>ROUND(J106/(T106/100),0)</f>
        <v>66358</v>
      </c>
      <c r="X106" s="5">
        <f>ROUND(J106/(I106*4),3)</f>
        <v>0.432</v>
      </c>
      <c r="Y106" s="5">
        <f>ROUND(J106/(H106*4),3)</f>
        <v>1.225</v>
      </c>
      <c r="Z106" t="str">
        <f>IF(J106&gt;P106,"Yes","No")</f>
        <v>Yes</v>
      </c>
      <c r="AA106" s="6">
        <f>RANK(V106,V$2:V$201,0)</f>
        <v>89</v>
      </c>
      <c r="AB106" s="6">
        <f>RANK(W106,W$2:W$201,0)</f>
        <v>107</v>
      </c>
      <c r="AC106" s="3">
        <f>ROUND(L106/J106*100,1)</f>
        <v>34.6</v>
      </c>
      <c r="AD106" s="5">
        <f>ROUND(M106/G106*10000,2)</f>
        <v>0</v>
      </c>
      <c r="AE106" t="inlineStr">
        <is>
          <t>College Scorecard (US Dept. of Education); Nobel Prize API; NCAA; state columns: US Census, Bureau of Economic Analysis</t>
        </is>
      </c>
    </row>
    <row r="107">
      <c r="A107" t="inlineStr">
        <is>
          <t>Worcester Polytechnic Institute</t>
        </is>
      </c>
      <c r="B107" t="inlineStr">
        <is>
          <t>MA</t>
        </is>
      </c>
      <c r="C107" t="inlineStr">
        <is>
          <t>Massachusetts</t>
        </is>
      </c>
      <c r="D107" t="inlineStr">
        <is>
          <t>Worcester</t>
        </is>
      </c>
      <c r="E107" s="3" t="n">
        <v>60.2</v>
      </c>
      <c r="G107" t="n">
        <v>5447</v>
      </c>
      <c r="H107" s="4" t="n">
        <v>60965</v>
      </c>
      <c r="I107" s="4" t="n">
        <v>60965</v>
      </c>
      <c r="J107" s="4" t="n">
        <v>103470</v>
      </c>
      <c r="K107" s="3" t="n">
        <v>89.09999999999999</v>
      </c>
      <c r="L107" s="4" t="n">
        <v>27000</v>
      </c>
      <c r="M107" t="n">
        <v>0</v>
      </c>
      <c r="N107" t="inlineStr">
        <is>
          <t>No</t>
        </is>
      </c>
      <c r="O107" s="4" t="n">
        <v>43761</v>
      </c>
      <c r="P107" s="4" t="n">
        <v>79985</v>
      </c>
      <c r="Q107" s="4" t="n">
        <v>36224</v>
      </c>
      <c r="R107" s="5" t="n">
        <v>1.83</v>
      </c>
      <c r="S107" s="3" t="n">
        <v>83</v>
      </c>
      <c r="T107" s="3" t="n">
        <v>105.8</v>
      </c>
      <c r="U107" s="4">
        <f>J107-P107</f>
        <v>23485</v>
      </c>
      <c r="V107" s="5">
        <f>ROUND(J107/P107,3)</f>
        <v>1.294</v>
      </c>
      <c r="W107" s="4">
        <f>ROUND(J107/(T107/100),0)</f>
        <v>97798</v>
      </c>
      <c r="X107" s="5">
        <f>ROUND(J107/(I107*4),3)</f>
        <v>0.424</v>
      </c>
      <c r="Y107" s="5">
        <f>ROUND(J107/(H107*4),3)</f>
        <v>0.424</v>
      </c>
      <c r="Z107" t="str">
        <f>IF(J107&gt;P107,"Yes","No")</f>
        <v>Yes</v>
      </c>
      <c r="AA107" s="6">
        <f>RANK(V107,V$2:V$201,0)</f>
        <v>26</v>
      </c>
      <c r="AB107" s="6">
        <f>RANK(W107,W$2:W$201,0)</f>
        <v>13</v>
      </c>
      <c r="AC107" s="3">
        <f>ROUND(L107/J107*100,1)</f>
        <v>26.1</v>
      </c>
      <c r="AD107" s="5">
        <f>ROUND(M107/G107*10000,2)</f>
        <v>0</v>
      </c>
      <c r="AE107" t="inlineStr">
        <is>
          <t>College Scorecard (US Dept. of Education); Nobel Prize API; NCAA; state columns: US Census, Bureau of Economic Analysis</t>
        </is>
      </c>
    </row>
    <row r="108">
      <c r="A108" t="inlineStr">
        <is>
          <t>Fashion Institute of Technology</t>
        </is>
      </c>
      <c r="B108" t="inlineStr">
        <is>
          <t>NY</t>
        </is>
      </c>
      <c r="C108" t="inlineStr">
        <is>
          <t>New York</t>
        </is>
      </c>
      <c r="D108" t="inlineStr">
        <is>
          <t>New York</t>
        </is>
      </c>
      <c r="E108" s="3" t="n">
        <v>60.2</v>
      </c>
      <c r="G108" t="n">
        <v>7637</v>
      </c>
      <c r="H108" s="4" t="n">
        <v>6294</v>
      </c>
      <c r="I108" s="4" t="n">
        <v>16874</v>
      </c>
      <c r="J108" s="4" t="n">
        <v>62696</v>
      </c>
      <c r="K108" s="3" t="n">
        <v>82</v>
      </c>
      <c r="L108" s="4" t="n">
        <v>12000</v>
      </c>
      <c r="M108" t="n">
        <v>0</v>
      </c>
      <c r="N108" t="inlineStr">
        <is>
          <t>No</t>
        </is>
      </c>
      <c r="O108" s="4" t="n">
        <v>39771</v>
      </c>
      <c r="P108" s="4" t="n">
        <v>74504</v>
      </c>
      <c r="Q108" s="4" t="n">
        <v>34733</v>
      </c>
      <c r="R108" s="5" t="n">
        <v>1.87</v>
      </c>
      <c r="S108" s="3" t="n">
        <v>87</v>
      </c>
      <c r="T108" s="3" t="n">
        <v>107.9</v>
      </c>
      <c r="U108" s="4">
        <f>J108-P108</f>
        <v>-11808</v>
      </c>
      <c r="V108" s="5">
        <f>ROUND(J108/P108,3)</f>
        <v>0.842</v>
      </c>
      <c r="W108" s="4">
        <f>ROUND(J108/(T108/100),0)</f>
        <v>58106</v>
      </c>
      <c r="X108" s="5">
        <f>ROUND(J108/(I108*4),3)</f>
        <v>0.929</v>
      </c>
      <c r="Y108" s="5">
        <f>ROUND(J108/(H108*4),3)</f>
        <v>2.49</v>
      </c>
      <c r="Z108" t="str">
        <f>IF(J108&gt;P108,"Yes","No")</f>
        <v>No</v>
      </c>
      <c r="AA108" s="6">
        <f>RANK(V108,V$2:V$201,0)</f>
        <v>155</v>
      </c>
      <c r="AB108" s="6">
        <f>RANK(W108,W$2:W$201,0)</f>
        <v>149</v>
      </c>
      <c r="AC108" s="3">
        <f>ROUND(L108/J108*100,1)</f>
        <v>19.1</v>
      </c>
      <c r="AD108" s="5">
        <f>ROUND(M108/G108*10000,2)</f>
        <v>0</v>
      </c>
      <c r="AE108" t="inlineStr">
        <is>
          <t>College Scorecard (US Dept. of Education); Nobel Prize API; NCAA; state columns: US Census, Bureau of Economic Analysis</t>
        </is>
      </c>
    </row>
    <row r="109">
      <c r="A109" t="inlineStr">
        <is>
          <t>Pennsylvania State University-Main Campus</t>
        </is>
      </c>
      <c r="B109" t="inlineStr">
        <is>
          <t>PA</t>
        </is>
      </c>
      <c r="C109" t="inlineStr">
        <is>
          <t>Pennsylvania</t>
        </is>
      </c>
      <c r="D109" t="inlineStr">
        <is>
          <t>University Park</t>
        </is>
      </c>
      <c r="E109" s="3" t="n">
        <v>60.6</v>
      </c>
      <c r="F109" t="n">
        <v>1337</v>
      </c>
      <c r="G109" t="n">
        <v>42284</v>
      </c>
      <c r="H109" s="4" t="n">
        <v>20644</v>
      </c>
      <c r="I109" s="4" t="n">
        <v>41790</v>
      </c>
      <c r="J109" s="4" t="n">
        <v>63435</v>
      </c>
      <c r="K109" s="3" t="n">
        <v>85.90000000000001</v>
      </c>
      <c r="L109" s="4" t="n">
        <v>25000</v>
      </c>
      <c r="M109" t="n">
        <v>0</v>
      </c>
      <c r="N109" t="inlineStr">
        <is>
          <t>No</t>
        </is>
      </c>
      <c r="O109" s="4" t="n">
        <v>40336</v>
      </c>
      <c r="P109" s="4" t="n">
        <v>65678</v>
      </c>
      <c r="Q109" s="4" t="n">
        <v>25342</v>
      </c>
      <c r="R109" s="5" t="n">
        <v>1.63</v>
      </c>
      <c r="S109" s="3" t="n">
        <v>63</v>
      </c>
      <c r="T109" s="3" t="n">
        <v>97.59999999999999</v>
      </c>
      <c r="U109" s="4">
        <f>J109-P109</f>
        <v>-2243</v>
      </c>
      <c r="V109" s="5">
        <f>ROUND(J109/P109,3)</f>
        <v>0.966</v>
      </c>
      <c r="W109" s="4">
        <f>ROUND(J109/(T109/100),0)</f>
        <v>64995</v>
      </c>
      <c r="X109" s="5">
        <f>ROUND(J109/(I109*4),3)</f>
        <v>0.379</v>
      </c>
      <c r="Y109" s="5">
        <f>ROUND(J109/(H109*4),3)</f>
        <v>0.768</v>
      </c>
      <c r="Z109" t="str">
        <f>IF(J109&gt;P109,"Yes","No")</f>
        <v>No</v>
      </c>
      <c r="AA109" s="6">
        <f>RANK(V109,V$2:V$201,0)</f>
        <v>115</v>
      </c>
      <c r="AB109" s="6">
        <f>RANK(W109,W$2:W$201,0)</f>
        <v>115</v>
      </c>
      <c r="AC109" s="3">
        <f>ROUND(L109/J109*100,1)</f>
        <v>39.4</v>
      </c>
      <c r="AD109" s="5">
        <f>ROUND(M109/G109*10000,2)</f>
        <v>0</v>
      </c>
      <c r="AE109" t="inlineStr">
        <is>
          <t>College Scorecard (US Dept. of Education); Nobel Prize API; NCAA; state columns: US Census, Bureau of Economic Analysis</t>
        </is>
      </c>
    </row>
    <row r="110">
      <c r="A110" t="inlineStr">
        <is>
          <t>Ohio State University-Main Campus</t>
        </is>
      </c>
      <c r="B110" t="inlineStr">
        <is>
          <t>OH</t>
        </is>
      </c>
      <c r="C110" t="inlineStr">
        <is>
          <t>Ohio</t>
        </is>
      </c>
      <c r="D110" t="inlineStr">
        <is>
          <t>Columbus</t>
        </is>
      </c>
      <c r="E110" s="3" t="n">
        <v>60.6</v>
      </c>
      <c r="F110" t="n">
        <v>1387</v>
      </c>
      <c r="G110" t="n">
        <v>45638</v>
      </c>
      <c r="H110" s="4" t="n">
        <v>13244</v>
      </c>
      <c r="I110" s="4" t="n">
        <v>40022</v>
      </c>
      <c r="J110" s="4" t="n">
        <v>60409</v>
      </c>
      <c r="K110" s="3" t="n">
        <v>87.7</v>
      </c>
      <c r="L110" s="4" t="n">
        <v>19976</v>
      </c>
      <c r="M110" t="n">
        <v>0</v>
      </c>
      <c r="N110" t="inlineStr">
        <is>
          <t>Yes</t>
        </is>
      </c>
      <c r="O110" s="4" t="n">
        <v>37990</v>
      </c>
      <c r="P110" s="4" t="n">
        <v>64933</v>
      </c>
      <c r="Q110" s="4" t="n">
        <v>26943</v>
      </c>
      <c r="R110" s="5" t="n">
        <v>1.71</v>
      </c>
      <c r="S110" s="3" t="n">
        <v>71</v>
      </c>
      <c r="T110" s="3" t="n">
        <v>92.8</v>
      </c>
      <c r="U110" s="4">
        <f>J110-P110</f>
        <v>-4524</v>
      </c>
      <c r="V110" s="5">
        <f>ROUND(J110/P110,3)</f>
        <v>0.93</v>
      </c>
      <c r="W110" s="4">
        <f>ROUND(J110/(T110/100),0)</f>
        <v>65096</v>
      </c>
      <c r="X110" s="5">
        <f>ROUND(J110/(I110*4),3)</f>
        <v>0.377</v>
      </c>
      <c r="Y110" s="5">
        <f>ROUND(J110/(H110*4),3)</f>
        <v>1.14</v>
      </c>
      <c r="Z110" t="str">
        <f>IF(J110&gt;P110,"Yes","No")</f>
        <v>No</v>
      </c>
      <c r="AA110" s="6">
        <f>RANK(V110,V$2:V$201,0)</f>
        <v>131</v>
      </c>
      <c r="AB110" s="6">
        <f>RANK(W110,W$2:W$201,0)</f>
        <v>114</v>
      </c>
      <c r="AC110" s="3">
        <f>ROUND(L110/J110*100,1)</f>
        <v>33.1</v>
      </c>
      <c r="AD110" s="5">
        <f>ROUND(M110/G110*10000,2)</f>
        <v>0</v>
      </c>
      <c r="AE110" t="inlineStr">
        <is>
          <t>College Scorecard (US Dept. of Education); Nobel Prize API; NCAA; state columns: US Census, Bureau of Economic Analysis</t>
        </is>
      </c>
    </row>
    <row r="111">
      <c r="A111" t="inlineStr">
        <is>
          <t>Colorado School of Mines</t>
        </is>
      </c>
      <c r="B111" t="inlineStr">
        <is>
          <t>CO</t>
        </is>
      </c>
      <c r="C111" t="inlineStr">
        <is>
          <t>Colorado</t>
        </is>
      </c>
      <c r="D111" t="inlineStr">
        <is>
          <t>Golden</t>
        </is>
      </c>
      <c r="E111" s="3" t="n">
        <v>60.7</v>
      </c>
      <c r="F111" t="n">
        <v>1412</v>
      </c>
      <c r="G111" t="n">
        <v>6155</v>
      </c>
      <c r="H111" s="4" t="n">
        <v>21914</v>
      </c>
      <c r="I111" s="4" t="n">
        <v>45824</v>
      </c>
      <c r="J111" s="4" t="n">
        <v>97335</v>
      </c>
      <c r="K111" s="3" t="n">
        <v>80.90000000000001</v>
      </c>
      <c r="L111" s="4" t="n">
        <v>23000</v>
      </c>
      <c r="M111" t="n">
        <v>0</v>
      </c>
      <c r="N111" t="inlineStr">
        <is>
          <t>No</t>
        </is>
      </c>
      <c r="O111" s="4" t="n">
        <v>42541</v>
      </c>
      <c r="P111" s="4" t="n">
        <v>73072</v>
      </c>
      <c r="Q111" s="4" t="n">
        <v>30531</v>
      </c>
      <c r="R111" s="5" t="n">
        <v>1.72</v>
      </c>
      <c r="S111" s="3" t="n">
        <v>72</v>
      </c>
      <c r="T111" s="3" t="n">
        <v>103.1</v>
      </c>
      <c r="U111" s="4">
        <f>J111-P111</f>
        <v>24263</v>
      </c>
      <c r="V111" s="5">
        <f>ROUND(J111/P111,3)</f>
        <v>1.332</v>
      </c>
      <c r="W111" s="4">
        <f>ROUND(J111/(T111/100),0)</f>
        <v>94408</v>
      </c>
      <c r="X111" s="5">
        <f>ROUND(J111/(I111*4),3)</f>
        <v>0.531</v>
      </c>
      <c r="Y111" s="5">
        <f>ROUND(J111/(H111*4),3)</f>
        <v>1.11</v>
      </c>
      <c r="Z111" t="str">
        <f>IF(J111&gt;P111,"Yes","No")</f>
        <v>Yes</v>
      </c>
      <c r="AA111" s="6">
        <f>RANK(V111,V$2:V$201,0)</f>
        <v>22</v>
      </c>
      <c r="AB111" s="6">
        <f>RANK(W111,W$2:W$201,0)</f>
        <v>21</v>
      </c>
      <c r="AC111" s="3">
        <f>ROUND(L111/J111*100,1)</f>
        <v>23.6</v>
      </c>
      <c r="AD111" s="5">
        <f>ROUND(M111/G111*10000,2)</f>
        <v>0</v>
      </c>
      <c r="AE111" t="inlineStr">
        <is>
          <t>College Scorecard (US Dept. of Education); Nobel Prize API; NCAA; state columns: US Census, Bureau of Economic Analysis</t>
        </is>
      </c>
    </row>
    <row r="112">
      <c r="A112" t="inlineStr">
        <is>
          <t>State University of New York at New Paltz</t>
        </is>
      </c>
      <c r="B112" t="inlineStr">
        <is>
          <t>NY</t>
        </is>
      </c>
      <c r="C112" t="inlineStr">
        <is>
          <t>New York</t>
        </is>
      </c>
      <c r="D112" t="inlineStr">
        <is>
          <t>New Paltz</t>
        </is>
      </c>
      <c r="E112" s="3" t="n">
        <v>61.6</v>
      </c>
      <c r="F112" t="n">
        <v>1265</v>
      </c>
      <c r="G112" t="n">
        <v>6086</v>
      </c>
      <c r="H112" s="4" t="n">
        <v>8572</v>
      </c>
      <c r="I112" s="4" t="n">
        <v>18822</v>
      </c>
      <c r="J112" s="4" t="n">
        <v>58073</v>
      </c>
      <c r="K112" s="3" t="n">
        <v>70.3</v>
      </c>
      <c r="L112" s="4" t="n">
        <v>18750</v>
      </c>
      <c r="M112" t="n">
        <v>0</v>
      </c>
      <c r="N112" t="inlineStr">
        <is>
          <t>No</t>
        </is>
      </c>
      <c r="O112" s="4" t="n">
        <v>39771</v>
      </c>
      <c r="P112" s="4" t="n">
        <v>74504</v>
      </c>
      <c r="Q112" s="4" t="n">
        <v>34733</v>
      </c>
      <c r="R112" s="5" t="n">
        <v>1.87</v>
      </c>
      <c r="S112" s="3" t="n">
        <v>87</v>
      </c>
      <c r="T112" s="3" t="n">
        <v>107.9</v>
      </c>
      <c r="U112" s="4">
        <f>J112-P112</f>
        <v>-16431</v>
      </c>
      <c r="V112" s="5">
        <f>ROUND(J112/P112,3)</f>
        <v>0.779</v>
      </c>
      <c r="W112" s="4">
        <f>ROUND(J112/(T112/100),0)</f>
        <v>53821</v>
      </c>
      <c r="X112" s="5">
        <f>ROUND(J112/(I112*4),3)</f>
        <v>0.771</v>
      </c>
      <c r="Y112" s="5">
        <f>ROUND(J112/(H112*4),3)</f>
        <v>1.694</v>
      </c>
      <c r="Z112" t="str">
        <f>IF(J112&gt;P112,"Yes","No")</f>
        <v>No</v>
      </c>
      <c r="AA112" s="6">
        <f>RANK(V112,V$2:V$201,0)</f>
        <v>175</v>
      </c>
      <c r="AB112" s="6">
        <f>RANK(W112,W$2:W$201,0)</f>
        <v>168</v>
      </c>
      <c r="AC112" s="3">
        <f>ROUND(L112/J112*100,1)</f>
        <v>32.3</v>
      </c>
      <c r="AD112" s="5">
        <f>ROUND(M112/G112*10000,2)</f>
        <v>0</v>
      </c>
      <c r="AE112" t="inlineStr">
        <is>
          <t>College Scorecard (US Dept. of Education); Nobel Prize API; NCAA; state columns: US Census, Bureau of Economic Analysis</t>
        </is>
      </c>
    </row>
    <row r="113">
      <c r="A113" t="inlineStr">
        <is>
          <t>University of San Francisco</t>
        </is>
      </c>
      <c r="B113" t="inlineStr">
        <is>
          <t>CA</t>
        </is>
      </c>
      <c r="C113" t="inlineStr">
        <is>
          <t>California</t>
        </is>
      </c>
      <c r="D113" t="inlineStr">
        <is>
          <t>San Francisco</t>
        </is>
      </c>
      <c r="E113" s="3" t="n">
        <v>61.7</v>
      </c>
      <c r="F113" t="n">
        <v>1295</v>
      </c>
      <c r="G113" t="n">
        <v>5287</v>
      </c>
      <c r="H113" s="4" t="n">
        <v>60492</v>
      </c>
      <c r="I113" s="4" t="n">
        <v>60492</v>
      </c>
      <c r="J113" s="4" t="n">
        <v>89812</v>
      </c>
      <c r="K113" s="3" t="n">
        <v>70.59999999999999</v>
      </c>
      <c r="L113" s="4" t="n">
        <v>23000</v>
      </c>
      <c r="M113" t="n">
        <v>0</v>
      </c>
      <c r="N113" t="inlineStr">
        <is>
          <t>No</t>
        </is>
      </c>
      <c r="O113" s="4" t="n">
        <v>40803</v>
      </c>
      <c r="P113" s="4" t="n">
        <v>78278</v>
      </c>
      <c r="Q113" s="4" t="n">
        <v>37475</v>
      </c>
      <c r="R113" s="5" t="n">
        <v>1.92</v>
      </c>
      <c r="S113" s="3" t="n">
        <v>92</v>
      </c>
      <c r="T113" s="3" t="n">
        <v>110.7</v>
      </c>
      <c r="U113" s="4">
        <f>J113-P113</f>
        <v>11534</v>
      </c>
      <c r="V113" s="5">
        <f>ROUND(J113/P113,3)</f>
        <v>1.147</v>
      </c>
      <c r="W113" s="4">
        <f>ROUND(J113/(T113/100),0)</f>
        <v>81131</v>
      </c>
      <c r="X113" s="5">
        <f>ROUND(J113/(I113*4),3)</f>
        <v>0.371</v>
      </c>
      <c r="Y113" s="5">
        <f>ROUND(J113/(H113*4),3)</f>
        <v>0.371</v>
      </c>
      <c r="Z113" t="str">
        <f>IF(J113&gt;P113,"Yes","No")</f>
        <v>Yes</v>
      </c>
      <c r="AA113" s="6">
        <f>RANK(V113,V$2:V$201,0)</f>
        <v>50</v>
      </c>
      <c r="AB113" s="6">
        <f>RANK(W113,W$2:W$201,0)</f>
        <v>41</v>
      </c>
      <c r="AC113" s="3">
        <f>ROUND(L113/J113*100,1)</f>
        <v>25.6</v>
      </c>
      <c r="AD113" s="5">
        <f>ROUND(M113/G113*10000,2)</f>
        <v>0</v>
      </c>
      <c r="AE113" t="inlineStr">
        <is>
          <t>College Scorecard (US Dept. of Education); Nobel Prize API; NCAA; state columns: US Census, Bureau of Economic Analysis</t>
        </is>
      </c>
    </row>
    <row r="114">
      <c r="A114" t="inlineStr">
        <is>
          <t>American University</t>
        </is>
      </c>
      <c r="B114" t="inlineStr">
        <is>
          <t>DC</t>
        </is>
      </c>
      <c r="C114" t="inlineStr">
        <is>
          <t>District of Columbia</t>
        </is>
      </c>
      <c r="D114" t="inlineStr">
        <is>
          <t>Washington</t>
        </is>
      </c>
      <c r="E114" s="3" t="n">
        <v>62</v>
      </c>
      <c r="F114" t="n">
        <v>1381</v>
      </c>
      <c r="G114" t="n">
        <v>7266</v>
      </c>
      <c r="H114" s="4" t="n">
        <v>58771</v>
      </c>
      <c r="I114" s="4" t="n">
        <v>58771</v>
      </c>
      <c r="J114" s="4" t="n">
        <v>77370</v>
      </c>
      <c r="K114" s="3" t="n">
        <v>77</v>
      </c>
      <c r="L114" s="4" t="n">
        <v>22750</v>
      </c>
      <c r="M114" t="n">
        <v>0</v>
      </c>
      <c r="N114" t="inlineStr">
        <is>
          <t>No</t>
        </is>
      </c>
      <c r="O114" s="4" t="n">
        <v>40715</v>
      </c>
      <c r="P114" s="4" t="n">
        <v>95628</v>
      </c>
      <c r="Q114" s="4" t="n">
        <v>54913</v>
      </c>
      <c r="R114" s="5" t="n">
        <v>2.35</v>
      </c>
      <c r="S114" s="3" t="n">
        <v>135</v>
      </c>
      <c r="T114" s="3" t="n">
        <v>109.9</v>
      </c>
      <c r="U114" s="4">
        <f>J114-P114</f>
        <v>-18258</v>
      </c>
      <c r="V114" s="5">
        <f>ROUND(J114/P114,3)</f>
        <v>0.8090000000000001</v>
      </c>
      <c r="W114" s="4">
        <f>ROUND(J114/(T114/100),0)</f>
        <v>70400</v>
      </c>
      <c r="X114" s="5">
        <f>ROUND(J114/(I114*4),3)</f>
        <v>0.329</v>
      </c>
      <c r="Y114" s="5">
        <f>ROUND(J114/(H114*4),3)</f>
        <v>0.329</v>
      </c>
      <c r="Z114" t="str">
        <f>IF(J114&gt;P114,"Yes","No")</f>
        <v>No</v>
      </c>
      <c r="AA114" s="6">
        <f>RANK(V114,V$2:V$201,0)</f>
        <v>164</v>
      </c>
      <c r="AB114" s="6">
        <f>RANK(W114,W$2:W$201,0)</f>
        <v>86</v>
      </c>
      <c r="AC114" s="3">
        <f>ROUND(L114/J114*100,1)</f>
        <v>29.4</v>
      </c>
      <c r="AD114" s="5">
        <f>ROUND(M114/G114*10000,2)</f>
        <v>0</v>
      </c>
      <c r="AE114" t="inlineStr">
        <is>
          <t>College Scorecard (US Dept. of Education); Nobel Prize API; NCAA; state columns: US Census, Bureau of Economic Analysis</t>
        </is>
      </c>
    </row>
    <row r="115">
      <c r="A115" t="inlineStr">
        <is>
          <t>The College of New Jersey</t>
        </is>
      </c>
      <c r="B115" t="inlineStr">
        <is>
          <t>NJ</t>
        </is>
      </c>
      <c r="C115" t="inlineStr">
        <is>
          <t>New Jersey</t>
        </is>
      </c>
      <c r="D115" t="inlineStr">
        <is>
          <t>Ewing</t>
        </is>
      </c>
      <c r="E115" s="3" t="n">
        <v>62.3</v>
      </c>
      <c r="F115" t="n">
        <v>1246</v>
      </c>
      <c r="G115" t="n">
        <v>7105</v>
      </c>
      <c r="H115" s="4" t="n">
        <v>19632</v>
      </c>
      <c r="I115" s="4" t="n">
        <v>25752</v>
      </c>
      <c r="J115" s="4" t="n">
        <v>73323</v>
      </c>
      <c r="K115" s="3" t="n">
        <v>85.5</v>
      </c>
      <c r="L115" s="4" t="n">
        <v>23250</v>
      </c>
      <c r="M115" t="n">
        <v>0</v>
      </c>
      <c r="N115" t="inlineStr">
        <is>
          <t>No</t>
        </is>
      </c>
      <c r="O115" s="4" t="n">
        <v>41528</v>
      </c>
      <c r="P115" s="4" t="n">
        <v>80114</v>
      </c>
      <c r="Q115" s="4" t="n">
        <v>38586</v>
      </c>
      <c r="R115" s="5" t="n">
        <v>1.93</v>
      </c>
      <c r="S115" s="3" t="n">
        <v>93</v>
      </c>
      <c r="T115" s="3" t="n">
        <v>108.8</v>
      </c>
      <c r="U115" s="4">
        <f>J115-P115</f>
        <v>-6791</v>
      </c>
      <c r="V115" s="5">
        <f>ROUND(J115/P115,3)</f>
        <v>0.915</v>
      </c>
      <c r="W115" s="4">
        <f>ROUND(J115/(T115/100),0)</f>
        <v>67392</v>
      </c>
      <c r="X115" s="5">
        <f>ROUND(J115/(I115*4),3)</f>
        <v>0.712</v>
      </c>
      <c r="Y115" s="5">
        <f>ROUND(J115/(H115*4),3)</f>
        <v>0.9340000000000001</v>
      </c>
      <c r="Z115" t="str">
        <f>IF(J115&gt;P115,"Yes","No")</f>
        <v>No</v>
      </c>
      <c r="AA115" s="6">
        <f>RANK(V115,V$2:V$201,0)</f>
        <v>137</v>
      </c>
      <c r="AB115" s="6">
        <f>RANK(W115,W$2:W$201,0)</f>
        <v>103</v>
      </c>
      <c r="AC115" s="3">
        <f>ROUND(L115/J115*100,1)</f>
        <v>31.7</v>
      </c>
      <c r="AD115" s="5">
        <f>ROUND(M115/G115*10000,2)</f>
        <v>0</v>
      </c>
      <c r="AE115" t="inlineStr">
        <is>
          <t>College Scorecard (US Dept. of Education); Nobel Prize API; NCAA; state columns: US Census, Bureau of Economic Analysis</t>
        </is>
      </c>
    </row>
    <row r="116">
      <c r="A116" t="inlineStr">
        <is>
          <t>University of Missouri-St Louis</t>
        </is>
      </c>
      <c r="B116" t="inlineStr">
        <is>
          <t>MO</t>
        </is>
      </c>
      <c r="C116" t="inlineStr">
        <is>
          <t>Missouri</t>
        </is>
      </c>
      <c r="D116" t="inlineStr">
        <is>
          <t>Saint Louis</t>
        </is>
      </c>
      <c r="E116" s="3" t="n">
        <v>62.7</v>
      </c>
      <c r="F116" t="n">
        <v>1199</v>
      </c>
      <c r="G116" t="n">
        <v>5024</v>
      </c>
      <c r="H116" s="4" t="n">
        <v>14112</v>
      </c>
      <c r="I116" s="4" t="n">
        <v>35112</v>
      </c>
      <c r="J116" s="4" t="n">
        <v>53037</v>
      </c>
      <c r="K116" s="3" t="n">
        <v>56.8</v>
      </c>
      <c r="L116" s="4" t="n">
        <v>20000</v>
      </c>
      <c r="M116" t="n">
        <v>0</v>
      </c>
      <c r="N116" t="inlineStr">
        <is>
          <t>Yes</t>
        </is>
      </c>
      <c r="O116" s="4" t="n">
        <v>37420</v>
      </c>
      <c r="P116" s="4" t="n">
        <v>61418</v>
      </c>
      <c r="Q116" s="4" t="n">
        <v>23998</v>
      </c>
      <c r="R116" s="5" t="n">
        <v>1.64</v>
      </c>
      <c r="S116" s="3" t="n">
        <v>64</v>
      </c>
      <c r="T116" s="3" t="n">
        <v>90.8</v>
      </c>
      <c r="U116" s="4">
        <f>J116-P116</f>
        <v>-8381</v>
      </c>
      <c r="V116" s="5">
        <f>ROUND(J116/P116,3)</f>
        <v>0.864</v>
      </c>
      <c r="W116" s="4">
        <f>ROUND(J116/(T116/100),0)</f>
        <v>58411</v>
      </c>
      <c r="X116" s="5">
        <f>ROUND(J116/(I116*4),3)</f>
        <v>0.378</v>
      </c>
      <c r="Y116" s="5">
        <f>ROUND(J116/(H116*4),3)</f>
        <v>0.9399999999999999</v>
      </c>
      <c r="Z116" t="str">
        <f>IF(J116&gt;P116,"Yes","No")</f>
        <v>No</v>
      </c>
      <c r="AA116" s="6">
        <f>RANK(V116,V$2:V$201,0)</f>
        <v>150</v>
      </c>
      <c r="AB116" s="6">
        <f>RANK(W116,W$2:W$201,0)</f>
        <v>144</v>
      </c>
      <c r="AC116" s="3">
        <f>ROUND(L116/J116*100,1)</f>
        <v>37.7</v>
      </c>
      <c r="AD116" s="5">
        <f>ROUND(M116/G116*10000,2)</f>
        <v>0</v>
      </c>
      <c r="AE116" t="inlineStr">
        <is>
          <t>College Scorecard (US Dept. of Education); Nobel Prize API; NCAA; state columns: US Census, Bureau of Economic Analysis</t>
        </is>
      </c>
    </row>
    <row r="117">
      <c r="A117" t="inlineStr">
        <is>
          <t>Farmingdale State College</t>
        </is>
      </c>
      <c r="B117" t="inlineStr">
        <is>
          <t>NY</t>
        </is>
      </c>
      <c r="C117" t="inlineStr">
        <is>
          <t>New York</t>
        </is>
      </c>
      <c r="D117" t="inlineStr">
        <is>
          <t>Farmingdale</t>
        </is>
      </c>
      <c r="E117" s="3" t="n">
        <v>63.3</v>
      </c>
      <c r="F117" t="n">
        <v>1147</v>
      </c>
      <c r="G117" t="n">
        <v>9552</v>
      </c>
      <c r="H117" s="4" t="n">
        <v>8626</v>
      </c>
      <c r="I117" s="4" t="n">
        <v>18536</v>
      </c>
      <c r="J117" s="4" t="n">
        <v>69781</v>
      </c>
      <c r="K117" s="3" t="n">
        <v>54.9</v>
      </c>
      <c r="L117" s="4" t="n">
        <v>14718</v>
      </c>
      <c r="M117" t="n">
        <v>0</v>
      </c>
      <c r="N117" t="inlineStr">
        <is>
          <t>No</t>
        </is>
      </c>
      <c r="O117" s="4" t="n">
        <v>39771</v>
      </c>
      <c r="P117" s="4" t="n">
        <v>74504</v>
      </c>
      <c r="Q117" s="4" t="n">
        <v>34733</v>
      </c>
      <c r="R117" s="5" t="n">
        <v>1.87</v>
      </c>
      <c r="S117" s="3" t="n">
        <v>87</v>
      </c>
      <c r="T117" s="3" t="n">
        <v>107.9</v>
      </c>
      <c r="U117" s="4">
        <f>J117-P117</f>
        <v>-4723</v>
      </c>
      <c r="V117" s="5">
        <f>ROUND(J117/P117,3)</f>
        <v>0.9370000000000001</v>
      </c>
      <c r="W117" s="4">
        <f>ROUND(J117/(T117/100),0)</f>
        <v>64672</v>
      </c>
      <c r="X117" s="5">
        <f>ROUND(J117/(I117*4),3)</f>
        <v>0.9409999999999999</v>
      </c>
      <c r="Y117" s="5">
        <f>ROUND(J117/(H117*4),3)</f>
        <v>2.022</v>
      </c>
      <c r="Z117" t="str">
        <f>IF(J117&gt;P117,"Yes","No")</f>
        <v>No</v>
      </c>
      <c r="AA117" s="6">
        <f>RANK(V117,V$2:V$201,0)</f>
        <v>129</v>
      </c>
      <c r="AB117" s="6">
        <f>RANK(W117,W$2:W$201,0)</f>
        <v>117</v>
      </c>
      <c r="AC117" s="3">
        <f>ROUND(L117/J117*100,1)</f>
        <v>21.1</v>
      </c>
      <c r="AD117" s="5">
        <f>ROUND(M117/G117*10000,2)</f>
        <v>0</v>
      </c>
      <c r="AE117" t="inlineStr">
        <is>
          <t>College Scorecard (US Dept. of Education); Nobel Prize API; NCAA; state columns: US Census, Bureau of Economic Analysis</t>
        </is>
      </c>
    </row>
    <row r="118">
      <c r="A118" t="inlineStr">
        <is>
          <t>Southern Methodist University</t>
        </is>
      </c>
      <c r="B118" t="inlineStr">
        <is>
          <t>TX</t>
        </is>
      </c>
      <c r="C118" t="inlineStr">
        <is>
          <t>Texas</t>
        </is>
      </c>
      <c r="D118" t="inlineStr">
        <is>
          <t>Dallas</t>
        </is>
      </c>
      <c r="E118" s="3" t="n">
        <v>63.3</v>
      </c>
      <c r="F118" t="n">
        <v>1428</v>
      </c>
      <c r="G118" t="n">
        <v>7277</v>
      </c>
      <c r="H118" s="4" t="n">
        <v>67040</v>
      </c>
      <c r="I118" s="4" t="n">
        <v>67040</v>
      </c>
      <c r="J118" s="4" t="n">
        <v>78354</v>
      </c>
      <c r="K118" s="3" t="n">
        <v>83.8</v>
      </c>
      <c r="L118" s="4" t="n">
        <v>19500</v>
      </c>
      <c r="M118" t="n">
        <v>0</v>
      </c>
      <c r="N118" t="inlineStr">
        <is>
          <t>Yes</t>
        </is>
      </c>
      <c r="O118" s="4" t="n">
        <v>37086</v>
      </c>
      <c r="P118" s="4" t="n">
        <v>66474</v>
      </c>
      <c r="Q118" s="4" t="n">
        <v>29388</v>
      </c>
      <c r="R118" s="5" t="n">
        <v>1.79</v>
      </c>
      <c r="S118" s="3" t="n">
        <v>79</v>
      </c>
      <c r="T118" s="3" t="n">
        <v>97.09999999999999</v>
      </c>
      <c r="U118" s="4">
        <f>J118-P118</f>
        <v>11880</v>
      </c>
      <c r="V118" s="5">
        <f>ROUND(J118/P118,3)</f>
        <v>1.179</v>
      </c>
      <c r="W118" s="4">
        <f>ROUND(J118/(T118/100),0)</f>
        <v>80694</v>
      </c>
      <c r="X118" s="5">
        <f>ROUND(J118/(I118*4),3)</f>
        <v>0.292</v>
      </c>
      <c r="Y118" s="5">
        <f>ROUND(J118/(H118*4),3)</f>
        <v>0.292</v>
      </c>
      <c r="Z118" t="str">
        <f>IF(J118&gt;P118,"Yes","No")</f>
        <v>Yes</v>
      </c>
      <c r="AA118" s="6">
        <f>RANK(V118,V$2:V$201,0)</f>
        <v>40</v>
      </c>
      <c r="AB118" s="6">
        <f>RANK(W118,W$2:W$201,0)</f>
        <v>45</v>
      </c>
      <c r="AC118" s="3">
        <f>ROUND(L118/J118*100,1)</f>
        <v>24.9</v>
      </c>
      <c r="AD118" s="5">
        <f>ROUND(M118/G118*10000,2)</f>
        <v>0</v>
      </c>
      <c r="AE118" t="inlineStr">
        <is>
          <t>College Scorecard (US Dept. of Education); Nobel Prize API; NCAA; state columns: US Census, Bureau of Economic Analysis</t>
        </is>
      </c>
    </row>
    <row r="119">
      <c r="A119" t="inlineStr">
        <is>
          <t>Florida Gulf Coast University</t>
        </is>
      </c>
      <c r="B119" t="inlineStr">
        <is>
          <t>FL</t>
        </is>
      </c>
      <c r="C119" t="inlineStr">
        <is>
          <t>Florida</t>
        </is>
      </c>
      <c r="D119" t="inlineStr">
        <is>
          <t>Fort Myers</t>
        </is>
      </c>
      <c r="E119" s="3" t="n">
        <v>63.4</v>
      </c>
      <c r="F119" t="n">
        <v>1114</v>
      </c>
      <c r="G119" t="n">
        <v>13874</v>
      </c>
      <c r="H119" s="4" t="n">
        <v>6118</v>
      </c>
      <c r="I119" s="4" t="n">
        <v>25162</v>
      </c>
      <c r="J119" s="4" t="n">
        <v>54560</v>
      </c>
      <c r="K119" s="3" t="n">
        <v>56.7</v>
      </c>
      <c r="L119" s="4" t="n">
        <v>17622</v>
      </c>
      <c r="M119" t="n">
        <v>0</v>
      </c>
      <c r="N119" t="inlineStr">
        <is>
          <t>No</t>
        </is>
      </c>
      <c r="O119" s="4" t="n">
        <v>36384</v>
      </c>
      <c r="P119" s="4" t="n">
        <v>58009</v>
      </c>
      <c r="Q119" s="4" t="n">
        <v>21625</v>
      </c>
      <c r="R119" s="5" t="n">
        <v>1.59</v>
      </c>
      <c r="S119" s="3" t="n">
        <v>59</v>
      </c>
      <c r="T119" s="3" t="n">
        <v>103.4</v>
      </c>
      <c r="U119" s="4">
        <f>J119-P119</f>
        <v>-3449</v>
      </c>
      <c r="V119" s="5">
        <f>ROUND(J119/P119,3)</f>
        <v>0.9409999999999999</v>
      </c>
      <c r="W119" s="4">
        <f>ROUND(J119/(T119/100),0)</f>
        <v>52766</v>
      </c>
      <c r="X119" s="5">
        <f>ROUND(J119/(I119*4),3)</f>
        <v>0.542</v>
      </c>
      <c r="Y119" s="5">
        <f>ROUND(J119/(H119*4),3)</f>
        <v>2.229</v>
      </c>
      <c r="Z119" t="str">
        <f>IF(J119&gt;P119,"Yes","No")</f>
        <v>No</v>
      </c>
      <c r="AA119" s="6">
        <f>RANK(V119,V$2:V$201,0)</f>
        <v>123</v>
      </c>
      <c r="AB119" s="6">
        <f>RANK(W119,W$2:W$201,0)</f>
        <v>172</v>
      </c>
      <c r="AC119" s="3">
        <f>ROUND(L119/J119*100,1)</f>
        <v>32.3</v>
      </c>
      <c r="AD119" s="5">
        <f>ROUND(M119/G119*10000,2)</f>
        <v>0</v>
      </c>
      <c r="AE119" t="inlineStr">
        <is>
          <t>College Scorecard (US Dept. of Education); Nobel Prize API; NCAA; state columns: US Census, Bureau of Economic Analysis</t>
        </is>
      </c>
    </row>
    <row r="120">
      <c r="A120" t="inlineStr">
        <is>
          <t>The New School</t>
        </is>
      </c>
      <c r="B120" t="inlineStr">
        <is>
          <t>NY</t>
        </is>
      </c>
      <c r="C120" t="inlineStr">
        <is>
          <t>New York</t>
        </is>
      </c>
      <c r="D120" t="inlineStr">
        <is>
          <t>New York</t>
        </is>
      </c>
      <c r="E120" s="3" t="n">
        <v>63.5</v>
      </c>
      <c r="G120" t="n">
        <v>6563</v>
      </c>
      <c r="H120" s="4" t="n">
        <v>58694</v>
      </c>
      <c r="I120" s="4" t="n">
        <v>58694</v>
      </c>
      <c r="J120" s="4" t="n">
        <v>52901</v>
      </c>
      <c r="K120" s="3" t="n">
        <v>70.2</v>
      </c>
      <c r="L120" s="4" t="n">
        <v>22266</v>
      </c>
      <c r="M120" t="n">
        <v>0</v>
      </c>
      <c r="N120" t="inlineStr">
        <is>
          <t>No</t>
        </is>
      </c>
      <c r="O120" s="4" t="n">
        <v>39771</v>
      </c>
      <c r="P120" s="4" t="n">
        <v>74504</v>
      </c>
      <c r="Q120" s="4" t="n">
        <v>34733</v>
      </c>
      <c r="R120" s="5" t="n">
        <v>1.87</v>
      </c>
      <c r="S120" s="3" t="n">
        <v>87</v>
      </c>
      <c r="T120" s="3" t="n">
        <v>107.9</v>
      </c>
      <c r="U120" s="4">
        <f>J120-P120</f>
        <v>-21603</v>
      </c>
      <c r="V120" s="5">
        <f>ROUND(J120/P120,3)</f>
        <v>0.71</v>
      </c>
      <c r="W120" s="4">
        <f>ROUND(J120/(T120/100),0)</f>
        <v>49028</v>
      </c>
      <c r="X120" s="5">
        <f>ROUND(J120/(I120*4),3)</f>
        <v>0.225</v>
      </c>
      <c r="Y120" s="5">
        <f>ROUND(J120/(H120*4),3)</f>
        <v>0.225</v>
      </c>
      <c r="Z120" t="str">
        <f>IF(J120&gt;P120,"Yes","No")</f>
        <v>No</v>
      </c>
      <c r="AA120" s="6">
        <f>RANK(V120,V$2:V$201,0)</f>
        <v>194</v>
      </c>
      <c r="AB120" s="6">
        <f>RANK(W120,W$2:W$201,0)</f>
        <v>189</v>
      </c>
      <c r="AC120" s="3">
        <f>ROUND(L120/J120*100,1)</f>
        <v>42.1</v>
      </c>
      <c r="AD120" s="5">
        <f>ROUND(M120/G120*10000,2)</f>
        <v>0</v>
      </c>
      <c r="AE120" t="inlineStr">
        <is>
          <t>College Scorecard (US Dept. of Education); Nobel Prize API; NCAA; state columns: US Census, Bureau of Economic Analysis</t>
        </is>
      </c>
    </row>
    <row r="121">
      <c r="A121" t="inlineStr">
        <is>
          <t>Rensselaer Polytechnic Institute</t>
        </is>
      </c>
      <c r="B121" t="inlineStr">
        <is>
          <t>NY</t>
        </is>
      </c>
      <c r="C121" t="inlineStr">
        <is>
          <t>New York</t>
        </is>
      </c>
      <c r="D121" t="inlineStr">
        <is>
          <t>Troy</t>
        </is>
      </c>
      <c r="E121" s="3" t="n">
        <v>63.5</v>
      </c>
      <c r="F121" t="n">
        <v>1456</v>
      </c>
      <c r="G121" t="n">
        <v>5714</v>
      </c>
      <c r="H121" s="4" t="n">
        <v>64081</v>
      </c>
      <c r="I121" s="4" t="n">
        <v>64081</v>
      </c>
      <c r="J121" s="4" t="n">
        <v>102051</v>
      </c>
      <c r="K121" s="3" t="n">
        <v>83.40000000000001</v>
      </c>
      <c r="L121" s="4" t="n">
        <v>23750</v>
      </c>
      <c r="M121" t="n">
        <v>0</v>
      </c>
      <c r="N121" t="inlineStr">
        <is>
          <t>No</t>
        </is>
      </c>
      <c r="O121" s="4" t="n">
        <v>39771</v>
      </c>
      <c r="P121" s="4" t="n">
        <v>74504</v>
      </c>
      <c r="Q121" s="4" t="n">
        <v>34733</v>
      </c>
      <c r="R121" s="5" t="n">
        <v>1.87</v>
      </c>
      <c r="S121" s="3" t="n">
        <v>87</v>
      </c>
      <c r="T121" s="3" t="n">
        <v>107.9</v>
      </c>
      <c r="U121" s="4">
        <f>J121-P121</f>
        <v>27547</v>
      </c>
      <c r="V121" s="5">
        <f>ROUND(J121/P121,3)</f>
        <v>1.37</v>
      </c>
      <c r="W121" s="4">
        <f>ROUND(J121/(T121/100),0)</f>
        <v>94579</v>
      </c>
      <c r="X121" s="5">
        <f>ROUND(J121/(I121*4),3)</f>
        <v>0.398</v>
      </c>
      <c r="Y121" s="5">
        <f>ROUND(J121/(H121*4),3)</f>
        <v>0.398</v>
      </c>
      <c r="Z121" t="str">
        <f>IF(J121&gt;P121,"Yes","No")</f>
        <v>Yes</v>
      </c>
      <c r="AA121" s="6">
        <f>RANK(V121,V$2:V$201,0)</f>
        <v>19</v>
      </c>
      <c r="AB121" s="6">
        <f>RANK(W121,W$2:W$201,0)</f>
        <v>20</v>
      </c>
      <c r="AC121" s="3">
        <f>ROUND(L121/J121*100,1)</f>
        <v>23.3</v>
      </c>
      <c r="AD121" s="5">
        <f>ROUND(M121/G121*10000,2)</f>
        <v>0</v>
      </c>
      <c r="AE121" t="inlineStr">
        <is>
          <t>College Scorecard (US Dept. of Education); Nobel Prize API; NCAA; state columns: US Census, Bureau of Economic Analysis</t>
        </is>
      </c>
    </row>
    <row r="122">
      <c r="A122" t="inlineStr">
        <is>
          <t>University of Central Missouri</t>
        </is>
      </c>
      <c r="B122" t="inlineStr">
        <is>
          <t>MO</t>
        </is>
      </c>
      <c r="C122" t="inlineStr">
        <is>
          <t>Missouri</t>
        </is>
      </c>
      <c r="D122" t="inlineStr">
        <is>
          <t>Warrensburg</t>
        </is>
      </c>
      <c r="E122" s="3" t="n">
        <v>63.8</v>
      </c>
      <c r="F122" t="n">
        <v>1050</v>
      </c>
      <c r="G122" t="n">
        <v>5648</v>
      </c>
      <c r="H122" s="4" t="n">
        <v>10050</v>
      </c>
      <c r="I122" s="4" t="n">
        <v>18600</v>
      </c>
      <c r="J122" s="4" t="n">
        <v>49560</v>
      </c>
      <c r="K122" s="3" t="n">
        <v>51.6</v>
      </c>
      <c r="L122" s="4" t="n">
        <v>21000</v>
      </c>
      <c r="M122" t="n">
        <v>0</v>
      </c>
      <c r="N122" t="inlineStr">
        <is>
          <t>No</t>
        </is>
      </c>
      <c r="O122" s="4" t="n">
        <v>37420</v>
      </c>
      <c r="P122" s="4" t="n">
        <v>61418</v>
      </c>
      <c r="Q122" s="4" t="n">
        <v>23998</v>
      </c>
      <c r="R122" s="5" t="n">
        <v>1.64</v>
      </c>
      <c r="S122" s="3" t="n">
        <v>64</v>
      </c>
      <c r="T122" s="3" t="n">
        <v>90.8</v>
      </c>
      <c r="U122" s="4">
        <f>J122-P122</f>
        <v>-11858</v>
      </c>
      <c r="V122" s="5">
        <f>ROUND(J122/P122,3)</f>
        <v>0.8070000000000001</v>
      </c>
      <c r="W122" s="4">
        <f>ROUND(J122/(T122/100),0)</f>
        <v>54581</v>
      </c>
      <c r="X122" s="5">
        <f>ROUND(J122/(I122*4),3)</f>
        <v>0.666</v>
      </c>
      <c r="Y122" s="5">
        <f>ROUND(J122/(H122*4),3)</f>
        <v>1.233</v>
      </c>
      <c r="Z122" t="str">
        <f>IF(J122&gt;P122,"Yes","No")</f>
        <v>No</v>
      </c>
      <c r="AA122" s="6">
        <f>RANK(V122,V$2:V$201,0)</f>
        <v>166</v>
      </c>
      <c r="AB122" s="6">
        <f>RANK(W122,W$2:W$201,0)</f>
        <v>164</v>
      </c>
      <c r="AC122" s="3">
        <f>ROUND(L122/J122*100,1)</f>
        <v>42.4</v>
      </c>
      <c r="AD122" s="5">
        <f>ROUND(M122/G122*10000,2)</f>
        <v>0</v>
      </c>
      <c r="AE122" t="inlineStr">
        <is>
          <t>College Scorecard (US Dept. of Education); Nobel Prize API; NCAA; state columns: US Census, Bureau of Economic Analysis</t>
        </is>
      </c>
    </row>
    <row r="123">
      <c r="A123" t="inlineStr">
        <is>
          <t>University of North Carolina Wilmington</t>
        </is>
      </c>
      <c r="B123" t="inlineStr">
        <is>
          <t>NC</t>
        </is>
      </c>
      <c r="C123" t="inlineStr">
        <is>
          <t>North Carolina</t>
        </is>
      </c>
      <c r="D123" t="inlineStr">
        <is>
          <t>Wilmington</t>
        </is>
      </c>
      <c r="E123" s="3" t="n">
        <v>64.2</v>
      </c>
      <c r="F123" t="n">
        <v>1287</v>
      </c>
      <c r="G123" t="n">
        <v>14922</v>
      </c>
      <c r="H123" s="4" t="n">
        <v>7277</v>
      </c>
      <c r="I123" s="4" t="n">
        <v>24152</v>
      </c>
      <c r="J123" s="4" t="n">
        <v>54967</v>
      </c>
      <c r="K123" s="3" t="n">
        <v>70.7</v>
      </c>
      <c r="L123" s="4" t="n">
        <v>19500</v>
      </c>
      <c r="M123" t="n">
        <v>0</v>
      </c>
      <c r="N123" t="inlineStr">
        <is>
          <t>No</t>
        </is>
      </c>
      <c r="O123" s="4" t="n">
        <v>36723</v>
      </c>
      <c r="P123" s="4" t="n">
        <v>62338</v>
      </c>
      <c r="Q123" s="4" t="n">
        <v>25615</v>
      </c>
      <c r="R123" s="5" t="n">
        <v>1.7</v>
      </c>
      <c r="S123" s="3" t="n">
        <v>70</v>
      </c>
      <c r="T123" s="3" t="n">
        <v>94.3</v>
      </c>
      <c r="U123" s="4">
        <f>J123-P123</f>
        <v>-7371</v>
      </c>
      <c r="V123" s="5">
        <f>ROUND(J123/P123,3)</f>
        <v>0.882</v>
      </c>
      <c r="W123" s="4">
        <f>ROUND(J123/(T123/100),0)</f>
        <v>58290</v>
      </c>
      <c r="X123" s="5">
        <f>ROUND(J123/(I123*4),3)</f>
        <v>0.569</v>
      </c>
      <c r="Y123" s="5">
        <f>ROUND(J123/(H123*4),3)</f>
        <v>1.888</v>
      </c>
      <c r="Z123" t="str">
        <f>IF(J123&gt;P123,"Yes","No")</f>
        <v>No</v>
      </c>
      <c r="AA123" s="6">
        <f>RANK(V123,V$2:V$201,0)</f>
        <v>145</v>
      </c>
      <c r="AB123" s="6">
        <f>RANK(W123,W$2:W$201,0)</f>
        <v>145</v>
      </c>
      <c r="AC123" s="3">
        <f>ROUND(L123/J123*100,1)</f>
        <v>35.5</v>
      </c>
      <c r="AD123" s="5">
        <f>ROUND(M123/G123*10000,2)</f>
        <v>0</v>
      </c>
      <c r="AE123" t="inlineStr">
        <is>
          <t>College Scorecard (US Dept. of Education); Nobel Prize API; NCAA; state columns: US Census, Bureau of Economic Analysis</t>
        </is>
      </c>
    </row>
    <row r="124">
      <c r="A124" t="inlineStr">
        <is>
          <t>CUNY Queens College</t>
        </is>
      </c>
      <c r="B124" t="inlineStr">
        <is>
          <t>NY</t>
        </is>
      </c>
      <c r="C124" t="inlineStr">
        <is>
          <t>New York</t>
        </is>
      </c>
      <c r="D124" t="inlineStr">
        <is>
          <t>Queens</t>
        </is>
      </c>
      <c r="E124" s="3" t="n">
        <v>64.3</v>
      </c>
      <c r="F124" t="n">
        <v>1120</v>
      </c>
      <c r="G124" t="n">
        <v>12550</v>
      </c>
      <c r="H124" s="4" t="n">
        <v>7538</v>
      </c>
      <c r="I124" s="4" t="n">
        <v>15488</v>
      </c>
      <c r="J124" s="4" t="n">
        <v>62763</v>
      </c>
      <c r="K124" s="3" t="n">
        <v>56.4</v>
      </c>
      <c r="L124" s="4" t="n">
        <v>10298</v>
      </c>
      <c r="M124" t="n">
        <v>0</v>
      </c>
      <c r="N124" t="inlineStr">
        <is>
          <t>No</t>
        </is>
      </c>
      <c r="O124" s="4" t="n">
        <v>39771</v>
      </c>
      <c r="P124" s="4" t="n">
        <v>74504</v>
      </c>
      <c r="Q124" s="4" t="n">
        <v>34733</v>
      </c>
      <c r="R124" s="5" t="n">
        <v>1.87</v>
      </c>
      <c r="S124" s="3" t="n">
        <v>87</v>
      </c>
      <c r="T124" s="3" t="n">
        <v>107.9</v>
      </c>
      <c r="U124" s="4">
        <f>J124-P124</f>
        <v>-11741</v>
      </c>
      <c r="V124" s="5">
        <f>ROUND(J124/P124,3)</f>
        <v>0.842</v>
      </c>
      <c r="W124" s="4">
        <f>ROUND(J124/(T124/100),0)</f>
        <v>58168</v>
      </c>
      <c r="X124" s="5">
        <f>ROUND(J124/(I124*4),3)</f>
        <v>1.013</v>
      </c>
      <c r="Y124" s="5">
        <f>ROUND(J124/(H124*4),3)</f>
        <v>2.082</v>
      </c>
      <c r="Z124" t="str">
        <f>IF(J124&gt;P124,"Yes","No")</f>
        <v>No</v>
      </c>
      <c r="AA124" s="6">
        <f>RANK(V124,V$2:V$201,0)</f>
        <v>155</v>
      </c>
      <c r="AB124" s="6">
        <f>RANK(W124,W$2:W$201,0)</f>
        <v>148</v>
      </c>
      <c r="AC124" s="3">
        <f>ROUND(L124/J124*100,1)</f>
        <v>16.4</v>
      </c>
      <c r="AD124" s="5">
        <f>ROUND(M124/G124*10000,2)</f>
        <v>0</v>
      </c>
      <c r="AE124" t="inlineStr">
        <is>
          <t>College Scorecard (US Dept. of Education); Nobel Prize API; NCAA; state columns: US Census, Bureau of Economic Analysis</t>
        </is>
      </c>
    </row>
    <row r="125">
      <c r="A125" t="inlineStr">
        <is>
          <t>Embry-Riddle Aeronautical University-Daytona Beach</t>
        </is>
      </c>
      <c r="B125" t="inlineStr">
        <is>
          <t>FL</t>
        </is>
      </c>
      <c r="C125" t="inlineStr">
        <is>
          <t>Florida</t>
        </is>
      </c>
      <c r="D125" t="inlineStr">
        <is>
          <t>Daytona Beach</t>
        </is>
      </c>
      <c r="E125" s="3" t="n">
        <v>64.8</v>
      </c>
      <c r="F125" t="n">
        <v>1257</v>
      </c>
      <c r="G125" t="n">
        <v>7860</v>
      </c>
      <c r="H125" s="4" t="n">
        <v>44249</v>
      </c>
      <c r="I125" s="4" t="n">
        <v>44249</v>
      </c>
      <c r="J125" s="4" t="n">
        <v>84131</v>
      </c>
      <c r="K125" s="3" t="n">
        <v>67</v>
      </c>
      <c r="L125" s="4" t="n">
        <v>23666</v>
      </c>
      <c r="M125" t="n">
        <v>0</v>
      </c>
      <c r="N125" t="inlineStr">
        <is>
          <t>No</t>
        </is>
      </c>
      <c r="O125" s="4" t="n">
        <v>36384</v>
      </c>
      <c r="P125" s="4" t="n">
        <v>58009</v>
      </c>
      <c r="Q125" s="4" t="n">
        <v>21625</v>
      </c>
      <c r="R125" s="5" t="n">
        <v>1.59</v>
      </c>
      <c r="S125" s="3" t="n">
        <v>59</v>
      </c>
      <c r="T125" s="3" t="n">
        <v>103.4</v>
      </c>
      <c r="U125" s="4">
        <f>J125-P125</f>
        <v>26122</v>
      </c>
      <c r="V125" s="5">
        <f>ROUND(J125/P125,3)</f>
        <v>1.45</v>
      </c>
      <c r="W125" s="4">
        <f>ROUND(J125/(T125/100),0)</f>
        <v>81365</v>
      </c>
      <c r="X125" s="5">
        <f>ROUND(J125/(I125*4),3)</f>
        <v>0.475</v>
      </c>
      <c r="Y125" s="5">
        <f>ROUND(J125/(H125*4),3)</f>
        <v>0.475</v>
      </c>
      <c r="Z125" t="str">
        <f>IF(J125&gt;P125,"Yes","No")</f>
        <v>Yes</v>
      </c>
      <c r="AA125" s="6">
        <f>RANK(V125,V$2:V$201,0)</f>
        <v>11</v>
      </c>
      <c r="AB125" s="6">
        <f>RANK(W125,W$2:W$201,0)</f>
        <v>39</v>
      </c>
      <c r="AC125" s="3">
        <f>ROUND(L125/J125*100,1)</f>
        <v>28.1</v>
      </c>
      <c r="AD125" s="5">
        <f>ROUND(M125/G125*10000,2)</f>
        <v>0</v>
      </c>
      <c r="AE125" t="inlineStr">
        <is>
          <t>College Scorecard (US Dept. of Education); Nobel Prize API; NCAA; state columns: US Census, Bureau of Economic Analysis</t>
        </is>
      </c>
    </row>
    <row r="126">
      <c r="A126" t="inlineStr">
        <is>
          <t>New Jersey Institute of Technology</t>
        </is>
      </c>
      <c r="B126" t="inlineStr">
        <is>
          <t>NJ</t>
        </is>
      </c>
      <c r="C126" t="inlineStr">
        <is>
          <t>New Jersey</t>
        </is>
      </c>
      <c r="D126" t="inlineStr">
        <is>
          <t>Newark</t>
        </is>
      </c>
      <c r="E126" s="3" t="n">
        <v>65.09999999999999</v>
      </c>
      <c r="F126" t="n">
        <v>1337</v>
      </c>
      <c r="G126" t="n">
        <v>9019</v>
      </c>
      <c r="H126" s="4" t="n">
        <v>19974</v>
      </c>
      <c r="I126" s="4" t="n">
        <v>37664</v>
      </c>
      <c r="J126" s="4" t="n">
        <v>84276</v>
      </c>
      <c r="K126" s="3" t="n">
        <v>72.90000000000001</v>
      </c>
      <c r="L126" s="4" t="n">
        <v>21000</v>
      </c>
      <c r="M126" t="n">
        <v>0</v>
      </c>
      <c r="N126" t="inlineStr">
        <is>
          <t>No</t>
        </is>
      </c>
      <c r="O126" s="4" t="n">
        <v>41528</v>
      </c>
      <c r="P126" s="4" t="n">
        <v>80114</v>
      </c>
      <c r="Q126" s="4" t="n">
        <v>38586</v>
      </c>
      <c r="R126" s="5" t="n">
        <v>1.93</v>
      </c>
      <c r="S126" s="3" t="n">
        <v>93</v>
      </c>
      <c r="T126" s="3" t="n">
        <v>108.8</v>
      </c>
      <c r="U126" s="4">
        <f>J126-P126</f>
        <v>4162</v>
      </c>
      <c r="V126" s="5">
        <f>ROUND(J126/P126,3)</f>
        <v>1.052</v>
      </c>
      <c r="W126" s="4">
        <f>ROUND(J126/(T126/100),0)</f>
        <v>77460</v>
      </c>
      <c r="X126" s="5">
        <f>ROUND(J126/(I126*4),3)</f>
        <v>0.5590000000000001</v>
      </c>
      <c r="Y126" s="5">
        <f>ROUND(J126/(H126*4),3)</f>
        <v>1.055</v>
      </c>
      <c r="Z126" t="str">
        <f>IF(J126&gt;P126,"Yes","No")</f>
        <v>Yes</v>
      </c>
      <c r="AA126" s="6">
        <f>RANK(V126,V$2:V$201,0)</f>
        <v>76</v>
      </c>
      <c r="AB126" s="6">
        <f>RANK(W126,W$2:W$201,0)</f>
        <v>55</v>
      </c>
      <c r="AC126" s="3">
        <f>ROUND(L126/J126*100,1)</f>
        <v>24.9</v>
      </c>
      <c r="AD126" s="5">
        <f>ROUND(M126/G126*10000,2)</f>
        <v>0</v>
      </c>
      <c r="AE126" t="inlineStr">
        <is>
          <t>College Scorecard (US Dept. of Education); Nobel Prize API; NCAA; state columns: US Census, Bureau of Economic Analysis</t>
        </is>
      </c>
    </row>
    <row r="127">
      <c r="A127" t="inlineStr">
        <is>
          <t>The University of Texas at Dallas</t>
        </is>
      </c>
      <c r="B127" t="inlineStr">
        <is>
          <t>TX</t>
        </is>
      </c>
      <c r="C127" t="inlineStr">
        <is>
          <t>Texas</t>
        </is>
      </c>
      <c r="D127" t="inlineStr">
        <is>
          <t>Richardson</t>
        </is>
      </c>
      <c r="E127" s="3" t="n">
        <v>65.09999999999999</v>
      </c>
      <c r="F127" t="n">
        <v>1286</v>
      </c>
      <c r="G127" t="n">
        <v>21751</v>
      </c>
      <c r="H127" s="4" t="n">
        <v>14644</v>
      </c>
      <c r="I127" s="4" t="n">
        <v>40144</v>
      </c>
      <c r="J127" s="4" t="n">
        <v>68227</v>
      </c>
      <c r="K127" s="3" t="n">
        <v>75.3</v>
      </c>
      <c r="L127" s="4" t="n">
        <v>18000</v>
      </c>
      <c r="M127" t="n">
        <v>0</v>
      </c>
      <c r="N127" t="inlineStr">
        <is>
          <t>No</t>
        </is>
      </c>
      <c r="O127" s="4" t="n">
        <v>37086</v>
      </c>
      <c r="P127" s="4" t="n">
        <v>66474</v>
      </c>
      <c r="Q127" s="4" t="n">
        <v>29388</v>
      </c>
      <c r="R127" s="5" t="n">
        <v>1.79</v>
      </c>
      <c r="S127" s="3" t="n">
        <v>79</v>
      </c>
      <c r="T127" s="3" t="n">
        <v>97.09999999999999</v>
      </c>
      <c r="U127" s="4">
        <f>J127-P127</f>
        <v>1753</v>
      </c>
      <c r="V127" s="5">
        <f>ROUND(J127/P127,3)</f>
        <v>1.026</v>
      </c>
      <c r="W127" s="4">
        <f>ROUND(J127/(T127/100),0)</f>
        <v>70265</v>
      </c>
      <c r="X127" s="5">
        <f>ROUND(J127/(I127*4),3)</f>
        <v>0.425</v>
      </c>
      <c r="Y127" s="5">
        <f>ROUND(J127/(H127*4),3)</f>
        <v>1.165</v>
      </c>
      <c r="Z127" t="str">
        <f>IF(J127&gt;P127,"Yes","No")</f>
        <v>Yes</v>
      </c>
      <c r="AA127" s="6">
        <f>RANK(V127,V$2:V$201,0)</f>
        <v>89</v>
      </c>
      <c r="AB127" s="6">
        <f>RANK(W127,W$2:W$201,0)</f>
        <v>87</v>
      </c>
      <c r="AC127" s="3">
        <f>ROUND(L127/J127*100,1)</f>
        <v>26.4</v>
      </c>
      <c r="AD127" s="5">
        <f>ROUND(M127/G127*10000,2)</f>
        <v>0</v>
      </c>
      <c r="AE127" t="inlineStr">
        <is>
          <t>College Scorecard (US Dept. of Education); Nobel Prize API; NCAA; state columns: US Census, Bureau of Economic Analysis</t>
        </is>
      </c>
    </row>
    <row r="128">
      <c r="A128" t="inlineStr">
        <is>
          <t>University of Vermont</t>
        </is>
      </c>
      <c r="B128" t="inlineStr">
        <is>
          <t>VT</t>
        </is>
      </c>
      <c r="C128" t="inlineStr">
        <is>
          <t>Vermont</t>
        </is>
      </c>
      <c r="D128" t="inlineStr">
        <is>
          <t>Burlington</t>
        </is>
      </c>
      <c r="E128" s="3" t="n">
        <v>65.3</v>
      </c>
      <c r="F128" t="n">
        <v>1374</v>
      </c>
      <c r="G128" t="n">
        <v>11743</v>
      </c>
      <c r="H128" s="4" t="n">
        <v>19058</v>
      </c>
      <c r="I128" s="4" t="n">
        <v>45502</v>
      </c>
      <c r="J128" s="4" t="n">
        <v>62472</v>
      </c>
      <c r="K128" s="3" t="n">
        <v>78.59999999999999</v>
      </c>
      <c r="L128" s="4" t="n">
        <v>20951</v>
      </c>
      <c r="M128" t="n">
        <v>0</v>
      </c>
      <c r="N128" t="inlineStr">
        <is>
          <t>No</t>
        </is>
      </c>
      <c r="O128" s="4" t="n">
        <v>43810</v>
      </c>
      <c r="P128" s="4" t="n">
        <v>56741</v>
      </c>
      <c r="Q128" s="4" t="n">
        <v>12931</v>
      </c>
      <c r="R128" s="5" t="n">
        <v>1.3</v>
      </c>
      <c r="S128" s="3" t="n">
        <v>30</v>
      </c>
      <c r="T128" s="3" t="n">
        <v>98</v>
      </c>
      <c r="U128" s="4">
        <f>J128-P128</f>
        <v>5731</v>
      </c>
      <c r="V128" s="5">
        <f>ROUND(J128/P128,3)</f>
        <v>1.101</v>
      </c>
      <c r="W128" s="4">
        <f>ROUND(J128/(T128/100),0)</f>
        <v>63747</v>
      </c>
      <c r="X128" s="5">
        <f>ROUND(J128/(I128*4),3)</f>
        <v>0.343</v>
      </c>
      <c r="Y128" s="5">
        <f>ROUND(J128/(H128*4),3)</f>
        <v>0.819</v>
      </c>
      <c r="Z128" t="str">
        <f>IF(J128&gt;P128,"Yes","No")</f>
        <v>Yes</v>
      </c>
      <c r="AA128" s="6">
        <f>RANK(V128,V$2:V$201,0)</f>
        <v>62</v>
      </c>
      <c r="AB128" s="6">
        <f>RANK(W128,W$2:W$201,0)</f>
        <v>123</v>
      </c>
      <c r="AC128" s="3">
        <f>ROUND(L128/J128*100,1)</f>
        <v>33.5</v>
      </c>
      <c r="AD128" s="5">
        <f>ROUND(M128/G128*10000,2)</f>
        <v>0</v>
      </c>
      <c r="AE128" t="inlineStr">
        <is>
          <t>College Scorecard (US Dept. of Education); Nobel Prize API; NCAA; state columns: US Census, Bureau of Economic Analysis</t>
        </is>
      </c>
    </row>
    <row r="129">
      <c r="A129" t="inlineStr">
        <is>
          <t>Sacred Heart University</t>
        </is>
      </c>
      <c r="B129" t="inlineStr">
        <is>
          <t>CT</t>
        </is>
      </c>
      <c r="C129" t="inlineStr">
        <is>
          <t>Connecticut</t>
        </is>
      </c>
      <c r="D129" t="inlineStr">
        <is>
          <t>Fairfield</t>
        </is>
      </c>
      <c r="E129" s="3" t="n">
        <v>65.40000000000001</v>
      </c>
      <c r="G129" t="n">
        <v>7087</v>
      </c>
      <c r="H129" s="4" t="n">
        <v>50404</v>
      </c>
      <c r="I129" s="4" t="n">
        <v>50404</v>
      </c>
      <c r="J129" s="4" t="n">
        <v>75059</v>
      </c>
      <c r="K129" s="3" t="n">
        <v>74</v>
      </c>
      <c r="L129" s="4" t="n">
        <v>25000</v>
      </c>
      <c r="M129" t="n">
        <v>0</v>
      </c>
      <c r="N129" t="inlineStr">
        <is>
          <t>No</t>
        </is>
      </c>
      <c r="O129" s="4" t="n">
        <v>42120</v>
      </c>
      <c r="P129" s="4" t="n">
        <v>75975</v>
      </c>
      <c r="Q129" s="4" t="n">
        <v>33855</v>
      </c>
      <c r="R129" s="5" t="n">
        <v>1.8</v>
      </c>
      <c r="S129" s="3" t="n">
        <v>80</v>
      </c>
      <c r="T129" s="3" t="n">
        <v>103.6</v>
      </c>
      <c r="U129" s="4">
        <f>J129-P129</f>
        <v>-916</v>
      </c>
      <c r="V129" s="5">
        <f>ROUND(J129/P129,3)</f>
        <v>0.988</v>
      </c>
      <c r="W129" s="4">
        <f>ROUND(J129/(T129/100),0)</f>
        <v>72451</v>
      </c>
      <c r="X129" s="5">
        <f>ROUND(J129/(I129*4),3)</f>
        <v>0.372</v>
      </c>
      <c r="Y129" s="5">
        <f>ROUND(J129/(H129*4),3)</f>
        <v>0.372</v>
      </c>
      <c r="Z129" t="str">
        <f>IF(J129&gt;P129,"Yes","No")</f>
        <v>No</v>
      </c>
      <c r="AA129" s="6">
        <f>RANK(V129,V$2:V$201,0)</f>
        <v>104</v>
      </c>
      <c r="AB129" s="6">
        <f>RANK(W129,W$2:W$201,0)</f>
        <v>75</v>
      </c>
      <c r="AC129" s="3">
        <f>ROUND(L129/J129*100,1)</f>
        <v>33.3</v>
      </c>
      <c r="AD129" s="5">
        <f>ROUND(M129/G129*10000,2)</f>
        <v>0</v>
      </c>
      <c r="AE129" t="inlineStr">
        <is>
          <t>College Scorecard (US Dept. of Education); Nobel Prize API; NCAA; state columns: US Census, Bureau of Economic Analysis</t>
        </is>
      </c>
    </row>
    <row r="130">
      <c r="A130" t="inlineStr">
        <is>
          <t>Chapman University</t>
        </is>
      </c>
      <c r="B130" t="inlineStr">
        <is>
          <t>CA</t>
        </is>
      </c>
      <c r="C130" t="inlineStr">
        <is>
          <t>California</t>
        </is>
      </c>
      <c r="D130" t="inlineStr">
        <is>
          <t>Orange</t>
        </is>
      </c>
      <c r="E130" s="3" t="n">
        <v>65.40000000000001</v>
      </c>
      <c r="F130" t="n">
        <v>1357</v>
      </c>
      <c r="G130" t="n">
        <v>7478</v>
      </c>
      <c r="H130" s="4" t="n">
        <v>64984</v>
      </c>
      <c r="I130" s="4" t="n">
        <v>64984</v>
      </c>
      <c r="J130" s="4" t="n">
        <v>70070</v>
      </c>
      <c r="K130" s="3" t="n">
        <v>81.09999999999999</v>
      </c>
      <c r="L130" s="4" t="n">
        <v>20500</v>
      </c>
      <c r="M130" t="n">
        <v>0</v>
      </c>
      <c r="N130" t="inlineStr">
        <is>
          <t>No</t>
        </is>
      </c>
      <c r="O130" s="4" t="n">
        <v>40803</v>
      </c>
      <c r="P130" s="4" t="n">
        <v>78278</v>
      </c>
      <c r="Q130" s="4" t="n">
        <v>37475</v>
      </c>
      <c r="R130" s="5" t="n">
        <v>1.92</v>
      </c>
      <c r="S130" s="3" t="n">
        <v>92</v>
      </c>
      <c r="T130" s="3" t="n">
        <v>110.7</v>
      </c>
      <c r="U130" s="4">
        <f>J130-P130</f>
        <v>-8208</v>
      </c>
      <c r="V130" s="5">
        <f>ROUND(J130/P130,3)</f>
        <v>0.895</v>
      </c>
      <c r="W130" s="4">
        <f>ROUND(J130/(T130/100),0)</f>
        <v>63297</v>
      </c>
      <c r="X130" s="5">
        <f>ROUND(J130/(I130*4),3)</f>
        <v>0.27</v>
      </c>
      <c r="Y130" s="5">
        <f>ROUND(J130/(H130*4),3)</f>
        <v>0.27</v>
      </c>
      <c r="Z130" t="str">
        <f>IF(J130&gt;P130,"Yes","No")</f>
        <v>No</v>
      </c>
      <c r="AA130" s="6">
        <f>RANK(V130,V$2:V$201,0)</f>
        <v>143</v>
      </c>
      <c r="AB130" s="6">
        <f>RANK(W130,W$2:W$201,0)</f>
        <v>124</v>
      </c>
      <c r="AC130" s="3">
        <f>ROUND(L130/J130*100,1)</f>
        <v>29.3</v>
      </c>
      <c r="AD130" s="5">
        <f>ROUND(M130/G130*10000,2)</f>
        <v>0</v>
      </c>
      <c r="AE130" t="inlineStr">
        <is>
          <t>College Scorecard (US Dept. of Education); Nobel Prize API; NCAA; state columns: US Census, Bureau of Economic Analysis</t>
        </is>
      </c>
    </row>
    <row r="131">
      <c r="A131" t="inlineStr">
        <is>
          <t>University of Dayton</t>
        </is>
      </c>
      <c r="B131" t="inlineStr">
        <is>
          <t>OH</t>
        </is>
      </c>
      <c r="C131" t="inlineStr">
        <is>
          <t>Ohio</t>
        </is>
      </c>
      <c r="D131" t="inlineStr">
        <is>
          <t>Dayton</t>
        </is>
      </c>
      <c r="E131" s="3" t="n">
        <v>65.5</v>
      </c>
      <c r="F131" t="n">
        <v>1335</v>
      </c>
      <c r="G131" t="n">
        <v>7682</v>
      </c>
      <c r="H131" s="4" t="n">
        <v>49140</v>
      </c>
      <c r="I131" s="4" t="n">
        <v>49140</v>
      </c>
      <c r="J131" s="4" t="n">
        <v>75537</v>
      </c>
      <c r="K131" s="3" t="n">
        <v>80.90000000000001</v>
      </c>
      <c r="L131" s="4" t="n">
        <v>23250</v>
      </c>
      <c r="M131" t="n">
        <v>0</v>
      </c>
      <c r="N131" t="inlineStr">
        <is>
          <t>No</t>
        </is>
      </c>
      <c r="O131" s="4" t="n">
        <v>37990</v>
      </c>
      <c r="P131" s="4" t="n">
        <v>64933</v>
      </c>
      <c r="Q131" s="4" t="n">
        <v>26943</v>
      </c>
      <c r="R131" s="5" t="n">
        <v>1.71</v>
      </c>
      <c r="S131" s="3" t="n">
        <v>71</v>
      </c>
      <c r="T131" s="3" t="n">
        <v>92.8</v>
      </c>
      <c r="U131" s="4">
        <f>J131-P131</f>
        <v>10604</v>
      </c>
      <c r="V131" s="5">
        <f>ROUND(J131/P131,3)</f>
        <v>1.163</v>
      </c>
      <c r="W131" s="4">
        <f>ROUND(J131/(T131/100),0)</f>
        <v>81398</v>
      </c>
      <c r="X131" s="5">
        <f>ROUND(J131/(I131*4),3)</f>
        <v>0.384</v>
      </c>
      <c r="Y131" s="5">
        <f>ROUND(J131/(H131*4),3)</f>
        <v>0.384</v>
      </c>
      <c r="Z131" t="str">
        <f>IF(J131&gt;P131,"Yes","No")</f>
        <v>Yes</v>
      </c>
      <c r="AA131" s="6">
        <f>RANK(V131,V$2:V$201,0)</f>
        <v>44</v>
      </c>
      <c r="AB131" s="6">
        <f>RANK(W131,W$2:W$201,0)</f>
        <v>38</v>
      </c>
      <c r="AC131" s="3">
        <f>ROUND(L131/J131*100,1)</f>
        <v>30.8</v>
      </c>
      <c r="AD131" s="5">
        <f>ROUND(M131/G131*10000,2)</f>
        <v>0</v>
      </c>
      <c r="AE131" t="inlineStr">
        <is>
          <t>College Scorecard (US Dept. of Education); Nobel Prize API; NCAA; state columns: US Census, Bureau of Economic Analysis</t>
        </is>
      </c>
    </row>
    <row r="132">
      <c r="A132" t="inlineStr">
        <is>
          <t>University of California-Santa Cruz</t>
        </is>
      </c>
      <c r="B132" t="inlineStr">
        <is>
          <t>CA</t>
        </is>
      </c>
      <c r="C132" t="inlineStr">
        <is>
          <t>California</t>
        </is>
      </c>
      <c r="D132" t="inlineStr">
        <is>
          <t>Santa Cruz</t>
        </is>
      </c>
      <c r="E132" s="3" t="n">
        <v>65.8</v>
      </c>
      <c r="G132" t="n">
        <v>17940</v>
      </c>
      <c r="H132" s="4" t="n">
        <v>16005</v>
      </c>
      <c r="I132" s="4" t="n">
        <v>50205</v>
      </c>
      <c r="J132" s="4" t="n">
        <v>68396</v>
      </c>
      <c r="K132" s="3" t="n">
        <v>74.8</v>
      </c>
      <c r="L132" s="4" t="n">
        <v>16666</v>
      </c>
      <c r="M132" t="n">
        <v>43</v>
      </c>
      <c r="N132" t="inlineStr">
        <is>
          <t>Yes</t>
        </is>
      </c>
      <c r="O132" s="4" t="n">
        <v>40803</v>
      </c>
      <c r="P132" s="4" t="n">
        <v>78278</v>
      </c>
      <c r="Q132" s="4" t="n">
        <v>37475</v>
      </c>
      <c r="R132" s="5" t="n">
        <v>1.92</v>
      </c>
      <c r="S132" s="3" t="n">
        <v>92</v>
      </c>
      <c r="T132" s="3" t="n">
        <v>110.7</v>
      </c>
      <c r="U132" s="4">
        <f>J132-P132</f>
        <v>-9882</v>
      </c>
      <c r="V132" s="5">
        <f>ROUND(J132/P132,3)</f>
        <v>0.874</v>
      </c>
      <c r="W132" s="4">
        <f>ROUND(J132/(T132/100),0)</f>
        <v>61785</v>
      </c>
      <c r="X132" s="5">
        <f>ROUND(J132/(I132*4),3)</f>
        <v>0.341</v>
      </c>
      <c r="Y132" s="5">
        <f>ROUND(J132/(H132*4),3)</f>
        <v>1.068</v>
      </c>
      <c r="Z132" t="str">
        <f>IF(J132&gt;P132,"Yes","No")</f>
        <v>No</v>
      </c>
      <c r="AA132" s="6">
        <f>RANK(V132,V$2:V$201,0)</f>
        <v>148</v>
      </c>
      <c r="AB132" s="6">
        <f>RANK(W132,W$2:W$201,0)</f>
        <v>130</v>
      </c>
      <c r="AC132" s="3">
        <f>ROUND(L132/J132*100,1)</f>
        <v>24.4</v>
      </c>
      <c r="AD132" s="5">
        <f>ROUND(M132/G132*10000,2)</f>
        <v>23.97</v>
      </c>
      <c r="AE132" t="inlineStr">
        <is>
          <t>College Scorecard (US Dept. of Education); Nobel Prize API; NCAA; state columns: US Census, Bureau of Economic Analysis</t>
        </is>
      </c>
    </row>
    <row r="133">
      <c r="A133" t="inlineStr">
        <is>
          <t>Adelphi University</t>
        </is>
      </c>
      <c r="B133" t="inlineStr">
        <is>
          <t>NY</t>
        </is>
      </c>
      <c r="C133" t="inlineStr">
        <is>
          <t>New York</t>
        </is>
      </c>
      <c r="D133" t="inlineStr">
        <is>
          <t>Garden City</t>
        </is>
      </c>
      <c r="E133" s="3" t="n">
        <v>65.90000000000001</v>
      </c>
      <c r="F133" t="n">
        <v>1219</v>
      </c>
      <c r="G133" t="n">
        <v>5276</v>
      </c>
      <c r="H133" s="4" t="n">
        <v>49110</v>
      </c>
      <c r="I133" s="4" t="n">
        <v>49110</v>
      </c>
      <c r="J133" s="4" t="n">
        <v>75482</v>
      </c>
      <c r="K133" s="3" t="n">
        <v>68</v>
      </c>
      <c r="L133" s="4" t="n">
        <v>25000</v>
      </c>
      <c r="M133" t="n">
        <v>0</v>
      </c>
      <c r="N133" t="inlineStr">
        <is>
          <t>No</t>
        </is>
      </c>
      <c r="O133" s="4" t="n">
        <v>39771</v>
      </c>
      <c r="P133" s="4" t="n">
        <v>74504</v>
      </c>
      <c r="Q133" s="4" t="n">
        <v>34733</v>
      </c>
      <c r="R133" s="5" t="n">
        <v>1.87</v>
      </c>
      <c r="S133" s="3" t="n">
        <v>87</v>
      </c>
      <c r="T133" s="3" t="n">
        <v>107.9</v>
      </c>
      <c r="U133" s="4">
        <f>J133-P133</f>
        <v>978</v>
      </c>
      <c r="V133" s="5">
        <f>ROUND(J133/P133,3)</f>
        <v>1.013</v>
      </c>
      <c r="W133" s="4">
        <f>ROUND(J133/(T133/100),0)</f>
        <v>69956</v>
      </c>
      <c r="X133" s="5">
        <f>ROUND(J133/(I133*4),3)</f>
        <v>0.384</v>
      </c>
      <c r="Y133" s="5">
        <f>ROUND(J133/(H133*4),3)</f>
        <v>0.384</v>
      </c>
      <c r="Z133" t="str">
        <f>IF(J133&gt;P133,"Yes","No")</f>
        <v>Yes</v>
      </c>
      <c r="AA133" s="6">
        <f>RANK(V133,V$2:V$201,0)</f>
        <v>95</v>
      </c>
      <c r="AB133" s="6">
        <f>RANK(W133,W$2:W$201,0)</f>
        <v>88</v>
      </c>
      <c r="AC133" s="3">
        <f>ROUND(L133/J133*100,1)</f>
        <v>33.1</v>
      </c>
      <c r="AD133" s="5">
        <f>ROUND(M133/G133*10000,2)</f>
        <v>0</v>
      </c>
      <c r="AE133" t="inlineStr">
        <is>
          <t>College Scorecard (US Dept. of Education); Nobel Prize API; NCAA; state columns: US Census, Bureau of Economic Analysis</t>
        </is>
      </c>
    </row>
    <row r="134">
      <c r="A134" t="inlineStr">
        <is>
          <t>Florida Atlantic University</t>
        </is>
      </c>
      <c r="B134" t="inlineStr">
        <is>
          <t>FL</t>
        </is>
      </c>
      <c r="C134" t="inlineStr">
        <is>
          <t>Florida</t>
        </is>
      </c>
      <c r="D134" t="inlineStr">
        <is>
          <t>Boca Raton</t>
        </is>
      </c>
      <c r="E134" s="3" t="n">
        <v>66.09999999999999</v>
      </c>
      <c r="F134" t="n">
        <v>1127</v>
      </c>
      <c r="G134" t="n">
        <v>23757</v>
      </c>
      <c r="H134" s="4" t="n">
        <v>4879</v>
      </c>
      <c r="I134" s="4" t="n">
        <v>17324</v>
      </c>
      <c r="J134" s="4" t="n">
        <v>56746</v>
      </c>
      <c r="K134" s="3" t="n">
        <v>63.4</v>
      </c>
      <c r="L134" s="4" t="n">
        <v>17236</v>
      </c>
      <c r="M134" t="n">
        <v>0</v>
      </c>
      <c r="N134" t="inlineStr">
        <is>
          <t>No</t>
        </is>
      </c>
      <c r="O134" s="4" t="n">
        <v>36384</v>
      </c>
      <c r="P134" s="4" t="n">
        <v>58009</v>
      </c>
      <c r="Q134" s="4" t="n">
        <v>21625</v>
      </c>
      <c r="R134" s="5" t="n">
        <v>1.59</v>
      </c>
      <c r="S134" s="3" t="n">
        <v>59</v>
      </c>
      <c r="T134" s="3" t="n">
        <v>103.4</v>
      </c>
      <c r="U134" s="4">
        <f>J134-P134</f>
        <v>-1263</v>
      </c>
      <c r="V134" s="5">
        <f>ROUND(J134/P134,3)</f>
        <v>0.978</v>
      </c>
      <c r="W134" s="4">
        <f>ROUND(J134/(T134/100),0)</f>
        <v>54880</v>
      </c>
      <c r="X134" s="5">
        <f>ROUND(J134/(I134*4),3)</f>
        <v>0.819</v>
      </c>
      <c r="Y134" s="5">
        <f>ROUND(J134/(H134*4),3)</f>
        <v>2.908</v>
      </c>
      <c r="Z134" t="str">
        <f>IF(J134&gt;P134,"Yes","No")</f>
        <v>No</v>
      </c>
      <c r="AA134" s="6">
        <f>RANK(V134,V$2:V$201,0)</f>
        <v>110</v>
      </c>
      <c r="AB134" s="6">
        <f>RANK(W134,W$2:W$201,0)</f>
        <v>163</v>
      </c>
      <c r="AC134" s="3">
        <f>ROUND(L134/J134*100,1)</f>
        <v>30.4</v>
      </c>
      <c r="AD134" s="5">
        <f>ROUND(M134/G134*10000,2)</f>
        <v>0</v>
      </c>
      <c r="AE134" t="inlineStr">
        <is>
          <t>College Scorecard (US Dept. of Education); Nobel Prize API; NCAA; state columns: US Census, Bureau of Economic Analysis</t>
        </is>
      </c>
    </row>
    <row r="135">
      <c r="A135" t="inlineStr">
        <is>
          <t>Elon University</t>
        </is>
      </c>
      <c r="B135" t="inlineStr">
        <is>
          <t>NC</t>
        </is>
      </c>
      <c r="C135" t="inlineStr">
        <is>
          <t>North Carolina</t>
        </is>
      </c>
      <c r="D135" t="inlineStr">
        <is>
          <t>Elon</t>
        </is>
      </c>
      <c r="E135" s="3" t="n">
        <v>66.3</v>
      </c>
      <c r="F135" t="n">
        <v>1208</v>
      </c>
      <c r="G135" t="n">
        <v>6452</v>
      </c>
      <c r="H135" s="4" t="n">
        <v>46958</v>
      </c>
      <c r="I135" s="4" t="n">
        <v>46958</v>
      </c>
      <c r="J135" s="4" t="n">
        <v>74545</v>
      </c>
      <c r="K135" s="3" t="n">
        <v>83.5</v>
      </c>
      <c r="L135" s="4" t="n">
        <v>20500</v>
      </c>
      <c r="M135" t="n">
        <v>0</v>
      </c>
      <c r="N135" t="inlineStr">
        <is>
          <t>No</t>
        </is>
      </c>
      <c r="O135" s="4" t="n">
        <v>36723</v>
      </c>
      <c r="P135" s="4" t="n">
        <v>62338</v>
      </c>
      <c r="Q135" s="4" t="n">
        <v>25615</v>
      </c>
      <c r="R135" s="5" t="n">
        <v>1.7</v>
      </c>
      <c r="S135" s="3" t="n">
        <v>70</v>
      </c>
      <c r="T135" s="3" t="n">
        <v>94.3</v>
      </c>
      <c r="U135" s="4">
        <f>J135-P135</f>
        <v>12207</v>
      </c>
      <c r="V135" s="5">
        <f>ROUND(J135/P135,3)</f>
        <v>1.196</v>
      </c>
      <c r="W135" s="4">
        <f>ROUND(J135/(T135/100),0)</f>
        <v>79051</v>
      </c>
      <c r="X135" s="5">
        <f>ROUND(J135/(I135*4),3)</f>
        <v>0.397</v>
      </c>
      <c r="Y135" s="5">
        <f>ROUND(J135/(H135*4),3)</f>
        <v>0.397</v>
      </c>
      <c r="Z135" t="str">
        <f>IF(J135&gt;P135,"Yes","No")</f>
        <v>Yes</v>
      </c>
      <c r="AA135" s="6">
        <f>RANK(V135,V$2:V$201,0)</f>
        <v>35</v>
      </c>
      <c r="AB135" s="6">
        <f>RANK(W135,W$2:W$201,0)</f>
        <v>47</v>
      </c>
      <c r="AC135" s="3">
        <f>ROUND(L135/J135*100,1)</f>
        <v>27.5</v>
      </c>
      <c r="AD135" s="5">
        <f>ROUND(M135/G135*10000,2)</f>
        <v>0</v>
      </c>
      <c r="AE135" t="inlineStr">
        <is>
          <t>College Scorecard (US Dept. of Education); Nobel Prize API; NCAA; state columns: US Census, Bureau of Economic Analysis</t>
        </is>
      </c>
    </row>
    <row r="136">
      <c r="A136" t="inlineStr">
        <is>
          <t>Arizona State University Digital Immersion</t>
        </is>
      </c>
      <c r="B136" t="inlineStr">
        <is>
          <t>AZ</t>
        </is>
      </c>
      <c r="C136" t="inlineStr">
        <is>
          <t>Arizona</t>
        </is>
      </c>
      <c r="D136" t="inlineStr">
        <is>
          <t>Scottsdale</t>
        </is>
      </c>
      <c r="E136" s="3" t="n">
        <v>66.7</v>
      </c>
      <c r="G136" t="n">
        <v>53782</v>
      </c>
      <c r="H136" s="4" t="n"/>
      <c r="I136" s="4" t="n"/>
      <c r="J136" s="4" t="n">
        <v>62668</v>
      </c>
      <c r="K136" s="3" t="n">
        <v>28.5</v>
      </c>
      <c r="L136" s="4" t="n">
        <v>19500</v>
      </c>
      <c r="M136" t="n">
        <v>0</v>
      </c>
      <c r="N136" t="inlineStr">
        <is>
          <t>No</t>
        </is>
      </c>
      <c r="O136" s="4" t="n">
        <v>40648</v>
      </c>
      <c r="P136" s="4" t="n">
        <v>66683</v>
      </c>
      <c r="Q136" s="4" t="n">
        <v>26035</v>
      </c>
      <c r="R136" s="5" t="n">
        <v>1.64</v>
      </c>
      <c r="S136" s="3" t="n">
        <v>64</v>
      </c>
      <c r="T136" s="3" t="n">
        <v>100.7</v>
      </c>
      <c r="U136" s="4">
        <f>J136-P136</f>
        <v>-4015</v>
      </c>
      <c r="V136" s="5">
        <f>ROUND(J136/P136,3)</f>
        <v>0.9399999999999999</v>
      </c>
      <c r="W136" s="4">
        <f>ROUND(J136/(T136/100),0)</f>
        <v>62232</v>
      </c>
      <c r="X136" s="5" t="n"/>
      <c r="Y136" s="5" t="n"/>
      <c r="Z136" t="str">
        <f>IF(J136&gt;P136,"Yes","No")</f>
        <v>No</v>
      </c>
      <c r="AA136" s="6">
        <f>RANK(V136,V$2:V$201,0)</f>
        <v>124</v>
      </c>
      <c r="AB136" s="6">
        <f>RANK(W136,W$2:W$201,0)</f>
        <v>127</v>
      </c>
      <c r="AC136" s="3">
        <f>ROUND(L136/J136*100,1)</f>
        <v>31.1</v>
      </c>
      <c r="AD136" s="5">
        <f>ROUND(M136/G136*10000,2)</f>
        <v>0</v>
      </c>
      <c r="AE136" t="inlineStr">
        <is>
          <t>College Scorecard (US Dept. of Education); Nobel Prize API; NCAA; state columns: US Census, Bureau of Economic Analysis</t>
        </is>
      </c>
    </row>
    <row r="137">
      <c r="A137" t="inlineStr">
        <is>
          <t>Rochester Institute of Technology</t>
        </is>
      </c>
      <c r="B137" t="inlineStr">
        <is>
          <t>NY</t>
        </is>
      </c>
      <c r="C137" t="inlineStr">
        <is>
          <t>New York</t>
        </is>
      </c>
      <c r="D137" t="inlineStr">
        <is>
          <t>Rochester</t>
        </is>
      </c>
      <c r="E137" s="3" t="n">
        <v>66.90000000000001</v>
      </c>
      <c r="F137" t="n">
        <v>1383</v>
      </c>
      <c r="G137" t="n">
        <v>13215</v>
      </c>
      <c r="H137" s="4" t="n">
        <v>59274</v>
      </c>
      <c r="I137" s="4" t="n">
        <v>59274</v>
      </c>
      <c r="J137" s="4" t="n">
        <v>76571</v>
      </c>
      <c r="K137" s="3" t="n">
        <v>70.3</v>
      </c>
      <c r="L137" s="4" t="n">
        <v>26778</v>
      </c>
      <c r="M137" t="n">
        <v>0</v>
      </c>
      <c r="N137" t="inlineStr">
        <is>
          <t>No</t>
        </is>
      </c>
      <c r="O137" s="4" t="n">
        <v>39771</v>
      </c>
      <c r="P137" s="4" t="n">
        <v>74504</v>
      </c>
      <c r="Q137" s="4" t="n">
        <v>34733</v>
      </c>
      <c r="R137" s="5" t="n">
        <v>1.87</v>
      </c>
      <c r="S137" s="3" t="n">
        <v>87</v>
      </c>
      <c r="T137" s="3" t="n">
        <v>107.9</v>
      </c>
      <c r="U137" s="4">
        <f>J137-P137</f>
        <v>2067</v>
      </c>
      <c r="V137" s="5">
        <f>ROUND(J137/P137,3)</f>
        <v>1.028</v>
      </c>
      <c r="W137" s="4">
        <f>ROUND(J137/(T137/100),0)</f>
        <v>70965</v>
      </c>
      <c r="X137" s="5">
        <f>ROUND(J137/(I137*4),3)</f>
        <v>0.323</v>
      </c>
      <c r="Y137" s="5">
        <f>ROUND(J137/(H137*4),3)</f>
        <v>0.323</v>
      </c>
      <c r="Z137" t="str">
        <f>IF(J137&gt;P137,"Yes","No")</f>
        <v>Yes</v>
      </c>
      <c r="AA137" s="6">
        <f>RANK(V137,V$2:V$201,0)</f>
        <v>87</v>
      </c>
      <c r="AB137" s="6">
        <f>RANK(W137,W$2:W$201,0)</f>
        <v>82</v>
      </c>
      <c r="AC137" s="3">
        <f>ROUND(L137/J137*100,1)</f>
        <v>35</v>
      </c>
      <c r="AD137" s="5">
        <f>ROUND(M137/G137*10000,2)</f>
        <v>0</v>
      </c>
      <c r="AE137" t="inlineStr">
        <is>
          <t>College Scorecard (US Dept. of Education); Nobel Prize API; NCAA; state columns: US Census, Bureau of Economic Analysis</t>
        </is>
      </c>
    </row>
    <row r="138">
      <c r="A138" t="inlineStr">
        <is>
          <t>Monroe University</t>
        </is>
      </c>
      <c r="B138" t="inlineStr">
        <is>
          <t>NY</t>
        </is>
      </c>
      <c r="C138" t="inlineStr">
        <is>
          <t>New York</t>
        </is>
      </c>
      <c r="D138" t="inlineStr">
        <is>
          <t>Bronx</t>
        </is>
      </c>
      <c r="E138" s="3" t="n">
        <v>67.5</v>
      </c>
      <c r="G138" t="n">
        <v>5701</v>
      </c>
      <c r="H138" s="4" t="n">
        <v>18464</v>
      </c>
      <c r="I138" s="4" t="n">
        <v>18464</v>
      </c>
      <c r="J138" s="4" t="n">
        <v>41236</v>
      </c>
      <c r="K138" s="3" t="n">
        <v>57</v>
      </c>
      <c r="L138" s="4" t="n">
        <v>18818</v>
      </c>
      <c r="M138" t="n">
        <v>0</v>
      </c>
      <c r="N138" t="inlineStr">
        <is>
          <t>No</t>
        </is>
      </c>
      <c r="O138" s="4" t="n">
        <v>39771</v>
      </c>
      <c r="P138" s="4" t="n">
        <v>74504</v>
      </c>
      <c r="Q138" s="4" t="n">
        <v>34733</v>
      </c>
      <c r="R138" s="5" t="n">
        <v>1.87</v>
      </c>
      <c r="S138" s="3" t="n">
        <v>87</v>
      </c>
      <c r="T138" s="3" t="n">
        <v>107.9</v>
      </c>
      <c r="U138" s="4">
        <f>J138-P138</f>
        <v>-33268</v>
      </c>
      <c r="V138" s="5">
        <f>ROUND(J138/P138,3)</f>
        <v>0.553</v>
      </c>
      <c r="W138" s="4">
        <f>ROUND(J138/(T138/100),0)</f>
        <v>38217</v>
      </c>
      <c r="X138" s="5">
        <f>ROUND(J138/(I138*4),3)</f>
        <v>0.5580000000000001</v>
      </c>
      <c r="Y138" s="5">
        <f>ROUND(J138/(H138*4),3)</f>
        <v>0.5580000000000001</v>
      </c>
      <c r="Z138" t="str">
        <f>IF(J138&gt;P138,"Yes","No")</f>
        <v>No</v>
      </c>
      <c r="AA138" s="6">
        <f>RANK(V138,V$2:V$201,0)</f>
        <v>199</v>
      </c>
      <c r="AB138" s="6">
        <f>RANK(W138,W$2:W$201,0)</f>
        <v>197</v>
      </c>
      <c r="AC138" s="3">
        <f>ROUND(L138/J138*100,1)</f>
        <v>45.6</v>
      </c>
      <c r="AD138" s="5">
        <f>ROUND(M138/G138*10000,2)</f>
        <v>0</v>
      </c>
      <c r="AE138" t="inlineStr">
        <is>
          <t>College Scorecard (US Dept. of Education); Nobel Prize API; NCAA; state columns: US Census, Bureau of Economic Analysis</t>
        </is>
      </c>
    </row>
    <row r="139">
      <c r="A139" t="inlineStr">
        <is>
          <t>Northern Kentucky University</t>
        </is>
      </c>
      <c r="B139" t="inlineStr">
        <is>
          <t>KY</t>
        </is>
      </c>
      <c r="C139" t="inlineStr">
        <is>
          <t>Kentucky</t>
        </is>
      </c>
      <c r="D139" t="inlineStr">
        <is>
          <t>Highland Heights</t>
        </is>
      </c>
      <c r="E139" s="3" t="n">
        <v>67.7</v>
      </c>
      <c r="F139" t="n">
        <v>1087</v>
      </c>
      <c r="G139" t="n">
        <v>8246</v>
      </c>
      <c r="H139" s="4" t="n">
        <v>11088</v>
      </c>
      <c r="I139" s="4" t="n">
        <v>21912</v>
      </c>
      <c r="J139" s="4" t="n">
        <v>50220</v>
      </c>
      <c r="K139" s="3" t="n">
        <v>50.2</v>
      </c>
      <c r="L139" s="4" t="n">
        <v>23000</v>
      </c>
      <c r="M139" t="n">
        <v>0</v>
      </c>
      <c r="N139" t="inlineStr">
        <is>
          <t>No</t>
        </is>
      </c>
      <c r="O139" s="4" t="n">
        <v>36636</v>
      </c>
      <c r="P139" s="4" t="n">
        <v>60185</v>
      </c>
      <c r="Q139" s="4" t="n">
        <v>23549</v>
      </c>
      <c r="R139" s="5" t="n">
        <v>1.64</v>
      </c>
      <c r="S139" s="3" t="n">
        <v>64</v>
      </c>
      <c r="T139" s="3" t="n">
        <v>90.2</v>
      </c>
      <c r="U139" s="4">
        <f>J139-P139</f>
        <v>-9965</v>
      </c>
      <c r="V139" s="5">
        <f>ROUND(J139/P139,3)</f>
        <v>0.834</v>
      </c>
      <c r="W139" s="4">
        <f>ROUND(J139/(T139/100),0)</f>
        <v>55676</v>
      </c>
      <c r="X139" s="5">
        <f>ROUND(J139/(I139*4),3)</f>
        <v>0.573</v>
      </c>
      <c r="Y139" s="5">
        <f>ROUND(J139/(H139*4),3)</f>
        <v>1.132</v>
      </c>
      <c r="Z139" t="str">
        <f>IF(J139&gt;P139,"Yes","No")</f>
        <v>No</v>
      </c>
      <c r="AA139" s="6">
        <f>RANK(V139,V$2:V$201,0)</f>
        <v>157</v>
      </c>
      <c r="AB139" s="6">
        <f>RANK(W139,W$2:W$201,0)</f>
        <v>160</v>
      </c>
      <c r="AC139" s="3">
        <f>ROUND(L139/J139*100,1)</f>
        <v>45.8</v>
      </c>
      <c r="AD139" s="5">
        <f>ROUND(M139/G139*10000,2)</f>
        <v>0</v>
      </c>
      <c r="AE139" t="inlineStr">
        <is>
          <t>College Scorecard (US Dept. of Education); Nobel Prize API; NCAA; state columns: US Census, Bureau of Economic Analysis</t>
        </is>
      </c>
    </row>
    <row r="140">
      <c r="A140" t="inlineStr">
        <is>
          <t>Brigham Young University</t>
        </is>
      </c>
      <c r="B140" t="inlineStr">
        <is>
          <t>UT</t>
        </is>
      </c>
      <c r="C140" t="inlineStr">
        <is>
          <t>Utah</t>
        </is>
      </c>
      <c r="D140" t="inlineStr">
        <is>
          <t>Provo</t>
        </is>
      </c>
      <c r="E140" s="3" t="n">
        <v>67.8</v>
      </c>
      <c r="F140" t="n">
        <v>1376</v>
      </c>
      <c r="G140" t="n">
        <v>32952</v>
      </c>
      <c r="H140" s="4" t="n">
        <v>6688</v>
      </c>
      <c r="I140" s="4" t="n">
        <v>6688</v>
      </c>
      <c r="J140" s="4" t="n">
        <v>75790</v>
      </c>
      <c r="K140" s="3" t="n">
        <v>81.59999999999999</v>
      </c>
      <c r="L140" s="4" t="n">
        <v>11069</v>
      </c>
      <c r="M140" t="n">
        <v>0</v>
      </c>
      <c r="N140" t="inlineStr">
        <is>
          <t>Yes</t>
        </is>
      </c>
      <c r="O140" s="4" t="n">
        <v>41940</v>
      </c>
      <c r="P140" s="4" t="n">
        <v>63247</v>
      </c>
      <c r="Q140" s="4" t="n">
        <v>21307</v>
      </c>
      <c r="R140" s="5" t="n">
        <v>1.51</v>
      </c>
      <c r="S140" s="3" t="n">
        <v>51</v>
      </c>
      <c r="T140" s="3" t="n">
        <v>98.90000000000001</v>
      </c>
      <c r="U140" s="4">
        <f>J140-P140</f>
        <v>12543</v>
      </c>
      <c r="V140" s="5">
        <f>ROUND(J140/P140,3)</f>
        <v>1.198</v>
      </c>
      <c r="W140" s="4">
        <f>ROUND(J140/(T140/100),0)</f>
        <v>76633</v>
      </c>
      <c r="X140" s="5">
        <f>ROUND(J140/(I140*4),3)</f>
        <v>2.833</v>
      </c>
      <c r="Y140" s="5">
        <f>ROUND(J140/(H140*4),3)</f>
        <v>2.833</v>
      </c>
      <c r="Z140" t="str">
        <f>IF(J140&gt;P140,"Yes","No")</f>
        <v>Yes</v>
      </c>
      <c r="AA140" s="6">
        <f>RANK(V140,V$2:V$201,0)</f>
        <v>34</v>
      </c>
      <c r="AB140" s="6">
        <f>RANK(W140,W$2:W$201,0)</f>
        <v>58</v>
      </c>
      <c r="AC140" s="3">
        <f>ROUND(L140/J140*100,1)</f>
        <v>14.6</v>
      </c>
      <c r="AD140" s="5">
        <f>ROUND(M140/G140*10000,2)</f>
        <v>0</v>
      </c>
      <c r="AE140" t="inlineStr">
        <is>
          <t>College Scorecard (US Dept. of Education); Nobel Prize API; NCAA; state columns: US Census, Bureau of Economic Analysis</t>
        </is>
      </c>
    </row>
    <row r="141">
      <c r="A141" t="inlineStr">
        <is>
          <t>University of North Georgia</t>
        </is>
      </c>
      <c r="B141" t="inlineStr">
        <is>
          <t>GA</t>
        </is>
      </c>
      <c r="C141" t="inlineStr">
        <is>
          <t>Georgia</t>
        </is>
      </c>
      <c r="D141" t="inlineStr">
        <is>
          <t>Dahlonega</t>
        </is>
      </c>
      <c r="E141" s="3" t="n">
        <v>67.90000000000001</v>
      </c>
      <c r="F141" t="n">
        <v>1106</v>
      </c>
      <c r="G141" t="n">
        <v>16146</v>
      </c>
      <c r="H141" s="4" t="n">
        <v>5285</v>
      </c>
      <c r="I141" s="4" t="n">
        <v>16503</v>
      </c>
      <c r="J141" s="4" t="n">
        <v>50135</v>
      </c>
      <c r="K141" s="3" t="n">
        <v>37.1</v>
      </c>
      <c r="L141" s="4" t="n">
        <v>17750</v>
      </c>
      <c r="M141" t="n">
        <v>0</v>
      </c>
      <c r="N141" t="inlineStr">
        <is>
          <t>No</t>
        </is>
      </c>
      <c r="O141" s="4" t="n">
        <v>36820</v>
      </c>
      <c r="P141" s="4" t="n">
        <v>64185</v>
      </c>
      <c r="Q141" s="4" t="n">
        <v>27365</v>
      </c>
      <c r="R141" s="5" t="n">
        <v>1.74</v>
      </c>
      <c r="S141" s="3" t="n">
        <v>74</v>
      </c>
      <c r="T141" s="3" t="n">
        <v>96.3</v>
      </c>
      <c r="U141" s="4">
        <f>J141-P141</f>
        <v>-14050</v>
      </c>
      <c r="V141" s="5">
        <f>ROUND(J141/P141,3)</f>
        <v>0.781</v>
      </c>
      <c r="W141" s="4">
        <f>ROUND(J141/(T141/100),0)</f>
        <v>52061</v>
      </c>
      <c r="X141" s="5">
        <f>ROUND(J141/(I141*4),3)</f>
        <v>0.759</v>
      </c>
      <c r="Y141" s="5">
        <f>ROUND(J141/(H141*4),3)</f>
        <v>2.372</v>
      </c>
      <c r="Z141" t="str">
        <f>IF(J141&gt;P141,"Yes","No")</f>
        <v>No</v>
      </c>
      <c r="AA141" s="6">
        <f>RANK(V141,V$2:V$201,0)</f>
        <v>173</v>
      </c>
      <c r="AB141" s="6">
        <f>RANK(W141,W$2:W$201,0)</f>
        <v>176</v>
      </c>
      <c r="AC141" s="3">
        <f>ROUND(L141/J141*100,1)</f>
        <v>35.4</v>
      </c>
      <c r="AD141" s="5">
        <f>ROUND(M141/G141*10000,2)</f>
        <v>0</v>
      </c>
      <c r="AE141" t="inlineStr">
        <is>
          <t>College Scorecard (US Dept. of Education); Nobel Prize API; NCAA; state columns: US Census, Bureau of Economic Analysis</t>
        </is>
      </c>
    </row>
    <row r="142">
      <c r="A142" t="inlineStr">
        <is>
          <t>Hofstra University</t>
        </is>
      </c>
      <c r="B142" t="inlineStr">
        <is>
          <t>NY</t>
        </is>
      </c>
      <c r="C142" t="inlineStr">
        <is>
          <t>New York</t>
        </is>
      </c>
      <c r="D142" t="inlineStr">
        <is>
          <t>Hempstead</t>
        </is>
      </c>
      <c r="E142" s="3" t="n">
        <v>68.09999999999999</v>
      </c>
      <c r="F142" t="n">
        <v>1319</v>
      </c>
      <c r="G142" t="n">
        <v>6488</v>
      </c>
      <c r="H142" s="4" t="n">
        <v>57660</v>
      </c>
      <c r="I142" s="4" t="n">
        <v>57660</v>
      </c>
      <c r="J142" s="4" t="n">
        <v>69039</v>
      </c>
      <c r="K142" s="3" t="n">
        <v>67.8</v>
      </c>
      <c r="L142" s="4" t="n">
        <v>23621</v>
      </c>
      <c r="M142" t="n">
        <v>0</v>
      </c>
      <c r="N142" t="inlineStr">
        <is>
          <t>Yes</t>
        </is>
      </c>
      <c r="O142" s="4" t="n">
        <v>39771</v>
      </c>
      <c r="P142" s="4" t="n">
        <v>74504</v>
      </c>
      <c r="Q142" s="4" t="n">
        <v>34733</v>
      </c>
      <c r="R142" s="5" t="n">
        <v>1.87</v>
      </c>
      <c r="S142" s="3" t="n">
        <v>87</v>
      </c>
      <c r="T142" s="3" t="n">
        <v>107.9</v>
      </c>
      <c r="U142" s="4">
        <f>J142-P142</f>
        <v>-5465</v>
      </c>
      <c r="V142" s="5">
        <f>ROUND(J142/P142,3)</f>
        <v>0.927</v>
      </c>
      <c r="W142" s="4">
        <f>ROUND(J142/(T142/100),0)</f>
        <v>63984</v>
      </c>
      <c r="X142" s="5">
        <f>ROUND(J142/(I142*4),3)</f>
        <v>0.299</v>
      </c>
      <c r="Y142" s="5">
        <f>ROUND(J142/(H142*4),3)</f>
        <v>0.299</v>
      </c>
      <c r="Z142" t="str">
        <f>IF(J142&gt;P142,"Yes","No")</f>
        <v>No</v>
      </c>
      <c r="AA142" s="6">
        <f>RANK(V142,V$2:V$201,0)</f>
        <v>134</v>
      </c>
      <c r="AB142" s="6">
        <f>RANK(W142,W$2:W$201,0)</f>
        <v>122</v>
      </c>
      <c r="AC142" s="3">
        <f>ROUND(L142/J142*100,1)</f>
        <v>34.2</v>
      </c>
      <c r="AD142" s="5">
        <f>ROUND(M142/G142*10000,2)</f>
        <v>0</v>
      </c>
      <c r="AE142" t="inlineStr">
        <is>
          <t>College Scorecard (US Dept. of Education); Nobel Prize API; NCAA; state columns: US Census, Bureau of Economic Analysis</t>
        </is>
      </c>
    </row>
    <row r="143">
      <c r="A143" t="inlineStr">
        <is>
          <t>University of Alabama in Huntsville</t>
        </is>
      </c>
      <c r="B143" t="inlineStr">
        <is>
          <t>AL</t>
        </is>
      </c>
      <c r="C143" t="inlineStr">
        <is>
          <t>Alabama</t>
        </is>
      </c>
      <c r="D143" t="inlineStr">
        <is>
          <t>Huntsville</t>
        </is>
      </c>
      <c r="E143" s="3" t="n">
        <v>68.59999999999999</v>
      </c>
      <c r="F143" t="n">
        <v>1319</v>
      </c>
      <c r="G143" t="n">
        <v>6591</v>
      </c>
      <c r="H143" s="4" t="n">
        <v>12132</v>
      </c>
      <c r="I143" s="4" t="n">
        <v>26408</v>
      </c>
      <c r="J143" s="4" t="n">
        <v>61767</v>
      </c>
      <c r="K143" s="3" t="n">
        <v>63.1</v>
      </c>
      <c r="L143" s="4" t="n">
        <v>20705</v>
      </c>
      <c r="M143" t="n">
        <v>0</v>
      </c>
      <c r="N143" t="inlineStr">
        <is>
          <t>No</t>
        </is>
      </c>
      <c r="O143" s="4" t="n">
        <v>36615</v>
      </c>
      <c r="P143" s="4" t="n">
        <v>60156</v>
      </c>
      <c r="Q143" s="4" t="n">
        <v>23541</v>
      </c>
      <c r="R143" s="5" t="n">
        <v>1.64</v>
      </c>
      <c r="S143" s="3" t="n">
        <v>64</v>
      </c>
      <c r="T143" s="3" t="n">
        <v>88.8</v>
      </c>
      <c r="U143" s="4">
        <f>J143-P143</f>
        <v>1611</v>
      </c>
      <c r="V143" s="5">
        <f>ROUND(J143/P143,3)</f>
        <v>1.027</v>
      </c>
      <c r="W143" s="4">
        <f>ROUND(J143/(T143/100),0)</f>
        <v>69557</v>
      </c>
      <c r="X143" s="5">
        <f>ROUND(J143/(I143*4),3)</f>
        <v>0.585</v>
      </c>
      <c r="Y143" s="5">
        <f>ROUND(J143/(H143*4),3)</f>
        <v>1.273</v>
      </c>
      <c r="Z143" t="str">
        <f>IF(J143&gt;P143,"Yes","No")</f>
        <v>Yes</v>
      </c>
      <c r="AA143" s="6">
        <f>RANK(V143,V$2:V$201,0)</f>
        <v>88</v>
      </c>
      <c r="AB143" s="6">
        <f>RANK(W143,W$2:W$201,0)</f>
        <v>89</v>
      </c>
      <c r="AC143" s="3">
        <f>ROUND(L143/J143*100,1)</f>
        <v>33.5</v>
      </c>
      <c r="AD143" s="5">
        <f>ROUND(M143/G143*10000,2)</f>
        <v>0</v>
      </c>
      <c r="AE143" t="inlineStr">
        <is>
          <t>College Scorecard (US Dept. of Education); Nobel Prize API; NCAA; state columns: US Census, Bureau of Economic Analysis</t>
        </is>
      </c>
    </row>
    <row r="144">
      <c r="A144" t="inlineStr">
        <is>
          <t>Middle Tennessee State University</t>
        </is>
      </c>
      <c r="B144" t="inlineStr">
        <is>
          <t>TN</t>
        </is>
      </c>
      <c r="C144" t="inlineStr">
        <is>
          <t>Tennessee</t>
        </is>
      </c>
      <c r="D144" t="inlineStr">
        <is>
          <t>Murfreesboro</t>
        </is>
      </c>
      <c r="E144" s="3" t="n">
        <v>69.09999999999999</v>
      </c>
      <c r="F144" t="n">
        <v>1121</v>
      </c>
      <c r="G144" t="n">
        <v>16301</v>
      </c>
      <c r="H144" s="4" t="n">
        <v>10266</v>
      </c>
      <c r="I144" s="4" t="n">
        <v>31574</v>
      </c>
      <c r="J144" s="4" t="n">
        <v>48541</v>
      </c>
      <c r="K144" s="3" t="n">
        <v>53.8</v>
      </c>
      <c r="L144" s="4" t="n">
        <v>20000</v>
      </c>
      <c r="M144" t="n">
        <v>0</v>
      </c>
      <c r="N144" t="inlineStr">
        <is>
          <t>No</t>
        </is>
      </c>
      <c r="O144" s="4" t="n">
        <v>37693</v>
      </c>
      <c r="P144" s="4" t="n">
        <v>61189</v>
      </c>
      <c r="Q144" s="4" t="n">
        <v>23496</v>
      </c>
      <c r="R144" s="5" t="n">
        <v>1.62</v>
      </c>
      <c r="S144" s="3" t="n">
        <v>62</v>
      </c>
      <c r="T144" s="3" t="n">
        <v>91.90000000000001</v>
      </c>
      <c r="U144" s="4">
        <f>J144-P144</f>
        <v>-12648</v>
      </c>
      <c r="V144" s="5">
        <f>ROUND(J144/P144,3)</f>
        <v>0.793</v>
      </c>
      <c r="W144" s="4">
        <f>ROUND(J144/(T144/100),0)</f>
        <v>52819</v>
      </c>
      <c r="X144" s="5">
        <f>ROUND(J144/(I144*4),3)</f>
        <v>0.384</v>
      </c>
      <c r="Y144" s="5">
        <f>ROUND(J144/(H144*4),3)</f>
        <v>1.182</v>
      </c>
      <c r="Z144" t="str">
        <f>IF(J144&gt;P144,"Yes","No")</f>
        <v>No</v>
      </c>
      <c r="AA144" s="6">
        <f>RANK(V144,V$2:V$201,0)</f>
        <v>170</v>
      </c>
      <c r="AB144" s="6">
        <f>RANK(W144,W$2:W$201,0)</f>
        <v>170</v>
      </c>
      <c r="AC144" s="3">
        <f>ROUND(L144/J144*100,1)</f>
        <v>41.2</v>
      </c>
      <c r="AD144" s="5">
        <f>ROUND(M144/G144*10000,2)</f>
        <v>0</v>
      </c>
      <c r="AE144" t="inlineStr">
        <is>
          <t>College Scorecard (US Dept. of Education); Nobel Prize API; NCAA; state columns: US Census, Bureau of Economic Analysis</t>
        </is>
      </c>
    </row>
    <row r="145">
      <c r="A145" t="inlineStr">
        <is>
          <t>University at Albany</t>
        </is>
      </c>
      <c r="B145" t="inlineStr">
        <is>
          <t>NY</t>
        </is>
      </c>
      <c r="C145" t="inlineStr">
        <is>
          <t>New York</t>
        </is>
      </c>
      <c r="D145" t="inlineStr">
        <is>
          <t>Albany</t>
        </is>
      </c>
      <c r="E145" s="3" t="n">
        <v>69.09999999999999</v>
      </c>
      <c r="G145" t="n">
        <v>12564</v>
      </c>
      <c r="H145" s="4" t="n">
        <v>10866</v>
      </c>
      <c r="I145" s="4" t="n">
        <v>31256</v>
      </c>
      <c r="J145" s="4" t="n">
        <v>67979</v>
      </c>
      <c r="K145" s="3" t="n">
        <v>62.7</v>
      </c>
      <c r="L145" s="4" t="n">
        <v>19500</v>
      </c>
      <c r="M145" t="n">
        <v>0</v>
      </c>
      <c r="N145" t="inlineStr">
        <is>
          <t>No</t>
        </is>
      </c>
      <c r="O145" s="4" t="n">
        <v>39771</v>
      </c>
      <c r="P145" s="4" t="n">
        <v>74504</v>
      </c>
      <c r="Q145" s="4" t="n">
        <v>34733</v>
      </c>
      <c r="R145" s="5" t="n">
        <v>1.87</v>
      </c>
      <c r="S145" s="3" t="n">
        <v>87</v>
      </c>
      <c r="T145" s="3" t="n">
        <v>107.9</v>
      </c>
      <c r="U145" s="4">
        <f>J145-P145</f>
        <v>-6525</v>
      </c>
      <c r="V145" s="5">
        <f>ROUND(J145/P145,3)</f>
        <v>0.912</v>
      </c>
      <c r="W145" s="4">
        <f>ROUND(J145/(T145/100),0)</f>
        <v>63002</v>
      </c>
      <c r="X145" s="5">
        <f>ROUND(J145/(I145*4),3)</f>
        <v>0.544</v>
      </c>
      <c r="Y145" s="5">
        <f>ROUND(J145/(H145*4),3)</f>
        <v>1.564</v>
      </c>
      <c r="Z145" t="str">
        <f>IF(J145&gt;P145,"Yes","No")</f>
        <v>No</v>
      </c>
      <c r="AA145" s="6">
        <f>RANK(V145,V$2:V$201,0)</f>
        <v>138</v>
      </c>
      <c r="AB145" s="6">
        <f>RANK(W145,W$2:W$201,0)</f>
        <v>125</v>
      </c>
      <c r="AC145" s="3">
        <f>ROUND(L145/J145*100,1)</f>
        <v>28.7</v>
      </c>
      <c r="AD145" s="5">
        <f>ROUND(M145/G145*10000,2)</f>
        <v>0</v>
      </c>
      <c r="AE145" t="inlineStr">
        <is>
          <t>College Scorecard (US Dept. of Education); Nobel Prize API; NCAA; state columns: US Census, Bureau of Economic Analysis</t>
        </is>
      </c>
    </row>
    <row r="146">
      <c r="A146" t="inlineStr">
        <is>
          <t>Kennesaw State University</t>
        </is>
      </c>
      <c r="B146" t="inlineStr">
        <is>
          <t>GA</t>
        </is>
      </c>
      <c r="C146" t="inlineStr">
        <is>
          <t>Georgia</t>
        </is>
      </c>
      <c r="D146" t="inlineStr">
        <is>
          <t>Kennesaw</t>
        </is>
      </c>
      <c r="E146" s="3" t="n">
        <v>69.2</v>
      </c>
      <c r="F146" t="n">
        <v>1113</v>
      </c>
      <c r="G146" t="n">
        <v>41254</v>
      </c>
      <c r="H146" s="4" t="n">
        <v>5808</v>
      </c>
      <c r="I146" s="4" t="n">
        <v>17736</v>
      </c>
      <c r="J146" s="4" t="n">
        <v>57552</v>
      </c>
      <c r="K146" s="3" t="n">
        <v>50</v>
      </c>
      <c r="L146" s="4" t="n">
        <v>23833</v>
      </c>
      <c r="M146" t="n">
        <v>0</v>
      </c>
      <c r="N146" t="inlineStr">
        <is>
          <t>Yes</t>
        </is>
      </c>
      <c r="O146" s="4" t="n">
        <v>36820</v>
      </c>
      <c r="P146" s="4" t="n">
        <v>64185</v>
      </c>
      <c r="Q146" s="4" t="n">
        <v>27365</v>
      </c>
      <c r="R146" s="5" t="n">
        <v>1.74</v>
      </c>
      <c r="S146" s="3" t="n">
        <v>74</v>
      </c>
      <c r="T146" s="3" t="n">
        <v>96.3</v>
      </c>
      <c r="U146" s="4">
        <f>J146-P146</f>
        <v>-6633</v>
      </c>
      <c r="V146" s="5">
        <f>ROUND(J146/P146,3)</f>
        <v>0.897</v>
      </c>
      <c r="W146" s="4">
        <f>ROUND(J146/(T146/100),0)</f>
        <v>59763</v>
      </c>
      <c r="X146" s="5">
        <f>ROUND(J146/(I146*4),3)</f>
        <v>0.8110000000000001</v>
      </c>
      <c r="Y146" s="5">
        <f>ROUND(J146/(H146*4),3)</f>
        <v>2.477</v>
      </c>
      <c r="Z146" t="str">
        <f>IF(J146&gt;P146,"Yes","No")</f>
        <v>No</v>
      </c>
      <c r="AA146" s="6">
        <f>RANK(V146,V$2:V$201,0)</f>
        <v>141</v>
      </c>
      <c r="AB146" s="6">
        <f>RANK(W146,W$2:W$201,0)</f>
        <v>135</v>
      </c>
      <c r="AC146" s="3">
        <f>ROUND(L146/J146*100,1)</f>
        <v>41.4</v>
      </c>
      <c r="AD146" s="5">
        <f>ROUND(M146/G146*10000,2)</f>
        <v>0</v>
      </c>
      <c r="AE146" t="inlineStr">
        <is>
          <t>College Scorecard (US Dept. of Education); Nobel Prize API; NCAA; state columns: US Census, Bureau of Economic Analysis</t>
        </is>
      </c>
    </row>
    <row r="147">
      <c r="A147" t="inlineStr">
        <is>
          <t>Northern Illinois University</t>
        </is>
      </c>
      <c r="B147" t="inlineStr">
        <is>
          <t>IL</t>
        </is>
      </c>
      <c r="C147" t="inlineStr">
        <is>
          <t>Illinois</t>
        </is>
      </c>
      <c r="D147" t="inlineStr">
        <is>
          <t>Dekalb</t>
        </is>
      </c>
      <c r="E147" s="3" t="n">
        <v>69.8</v>
      </c>
      <c r="G147" t="n">
        <v>11301</v>
      </c>
      <c r="H147" s="4" t="n">
        <v>13248</v>
      </c>
      <c r="I147" s="4" t="n">
        <v>13248</v>
      </c>
      <c r="J147" s="4" t="n">
        <v>57808</v>
      </c>
      <c r="K147" s="3" t="n">
        <v>49.2</v>
      </c>
      <c r="L147" s="4" t="n">
        <v>22162</v>
      </c>
      <c r="M147" t="n">
        <v>0</v>
      </c>
      <c r="N147" t="inlineStr">
        <is>
          <t>No</t>
        </is>
      </c>
      <c r="O147" s="4" t="n">
        <v>40285</v>
      </c>
      <c r="P147" s="4" t="n">
        <v>71127</v>
      </c>
      <c r="Q147" s="4" t="n">
        <v>30842</v>
      </c>
      <c r="R147" s="5" t="n">
        <v>1.77</v>
      </c>
      <c r="S147" s="3" t="n">
        <v>77</v>
      </c>
      <c r="T147" s="3" t="n">
        <v>100</v>
      </c>
      <c r="U147" s="4">
        <f>J147-P147</f>
        <v>-13319</v>
      </c>
      <c r="V147" s="5">
        <f>ROUND(J147/P147,3)</f>
        <v>0.8129999999999999</v>
      </c>
      <c r="W147" s="4">
        <f>ROUND(J147/(T147/100),0)</f>
        <v>57808</v>
      </c>
      <c r="X147" s="5">
        <f>ROUND(J147/(I147*4),3)</f>
        <v>1.091</v>
      </c>
      <c r="Y147" s="5">
        <f>ROUND(J147/(H147*4),3)</f>
        <v>1.091</v>
      </c>
      <c r="Z147" t="str">
        <f>IF(J147&gt;P147,"Yes","No")</f>
        <v>No</v>
      </c>
      <c r="AA147" s="6">
        <f>RANK(V147,V$2:V$201,0)</f>
        <v>163</v>
      </c>
      <c r="AB147" s="6">
        <f>RANK(W147,W$2:W$201,0)</f>
        <v>150</v>
      </c>
      <c r="AC147" s="3">
        <f>ROUND(L147/J147*100,1)</f>
        <v>38.3</v>
      </c>
      <c r="AD147" s="5">
        <f>ROUND(M147/G147*10000,2)</f>
        <v>0</v>
      </c>
      <c r="AE147" t="inlineStr">
        <is>
          <t>College Scorecard (US Dept. of Education); Nobel Prize API; NCAA; state columns: US Census, Bureau of Economic Analysis</t>
        </is>
      </c>
    </row>
    <row r="148">
      <c r="A148" t="inlineStr">
        <is>
          <t>University of Delaware</t>
        </is>
      </c>
      <c r="B148" t="inlineStr">
        <is>
          <t>DE</t>
        </is>
      </c>
      <c r="C148" t="inlineStr">
        <is>
          <t>Delaware</t>
        </is>
      </c>
      <c r="D148" t="inlineStr">
        <is>
          <t>Newark</t>
        </is>
      </c>
      <c r="E148" s="3" t="n">
        <v>70.59999999999999</v>
      </c>
      <c r="F148" t="n">
        <v>1292</v>
      </c>
      <c r="G148" t="n">
        <v>19071</v>
      </c>
      <c r="H148" s="4" t="n">
        <v>16810</v>
      </c>
      <c r="I148" s="4" t="n">
        <v>41400</v>
      </c>
      <c r="J148" s="4" t="n">
        <v>72950</v>
      </c>
      <c r="K148" s="3" t="n">
        <v>79.7</v>
      </c>
      <c r="L148" s="4" t="n">
        <v>24572</v>
      </c>
      <c r="M148" t="n">
        <v>1</v>
      </c>
      <c r="N148" t="inlineStr">
        <is>
          <t>No</t>
        </is>
      </c>
      <c r="O148" s="4" t="n">
        <v>38872</v>
      </c>
      <c r="P148" s="4" t="n">
        <v>64157</v>
      </c>
      <c r="Q148" s="4" t="n">
        <v>25285</v>
      </c>
      <c r="R148" s="5" t="n">
        <v>1.65</v>
      </c>
      <c r="S148" s="3" t="n">
        <v>65</v>
      </c>
      <c r="T148" s="3" t="n">
        <v>99.8</v>
      </c>
      <c r="U148" s="4">
        <f>J148-P148</f>
        <v>8793</v>
      </c>
      <c r="V148" s="5">
        <f>ROUND(J148/P148,3)</f>
        <v>1.137</v>
      </c>
      <c r="W148" s="4">
        <f>ROUND(J148/(T148/100),0)</f>
        <v>73096</v>
      </c>
      <c r="X148" s="5">
        <f>ROUND(J148/(I148*4),3)</f>
        <v>0.441</v>
      </c>
      <c r="Y148" s="5">
        <f>ROUND(J148/(H148*4),3)</f>
        <v>1.085</v>
      </c>
      <c r="Z148" t="str">
        <f>IF(J148&gt;P148,"Yes","No")</f>
        <v>Yes</v>
      </c>
      <c r="AA148" s="6">
        <f>RANK(V148,V$2:V$201,0)</f>
        <v>54</v>
      </c>
      <c r="AB148" s="6">
        <f>RANK(W148,W$2:W$201,0)</f>
        <v>69</v>
      </c>
      <c r="AC148" s="3">
        <f>ROUND(L148/J148*100,1)</f>
        <v>33.7</v>
      </c>
      <c r="AD148" s="5">
        <f>ROUND(M148/G148*10000,2)</f>
        <v>0.52</v>
      </c>
      <c r="AE148" t="inlineStr">
        <is>
          <t>College Scorecard (US Dept. of Education); Nobel Prize API; NCAA; state columns: US Census, Bureau of Economic Analysis</t>
        </is>
      </c>
    </row>
    <row r="149">
      <c r="A149" t="inlineStr">
        <is>
          <t>SUNY Brockport</t>
        </is>
      </c>
      <c r="B149" t="inlineStr">
        <is>
          <t>NY</t>
        </is>
      </c>
      <c r="C149" t="inlineStr">
        <is>
          <t>New York</t>
        </is>
      </c>
      <c r="D149" t="inlineStr">
        <is>
          <t>Brockport</t>
        </is>
      </c>
      <c r="E149" s="3" t="n">
        <v>70.7</v>
      </c>
      <c r="F149" t="n">
        <v>1193</v>
      </c>
      <c r="G149" t="n">
        <v>5784</v>
      </c>
      <c r="H149" s="4" t="n">
        <v>8752</v>
      </c>
      <c r="I149" s="4" t="n">
        <v>15822</v>
      </c>
      <c r="J149" s="4" t="n">
        <v>54496</v>
      </c>
      <c r="K149" s="3" t="n">
        <v>55.9</v>
      </c>
      <c r="L149" s="4" t="n">
        <v>20000</v>
      </c>
      <c r="M149" t="n">
        <v>0</v>
      </c>
      <c r="N149" t="inlineStr">
        <is>
          <t>No</t>
        </is>
      </c>
      <c r="O149" s="4" t="n">
        <v>39771</v>
      </c>
      <c r="P149" s="4" t="n">
        <v>74504</v>
      </c>
      <c r="Q149" s="4" t="n">
        <v>34733</v>
      </c>
      <c r="R149" s="5" t="n">
        <v>1.87</v>
      </c>
      <c r="S149" s="3" t="n">
        <v>87</v>
      </c>
      <c r="T149" s="3" t="n">
        <v>107.9</v>
      </c>
      <c r="U149" s="4">
        <f>J149-P149</f>
        <v>-20008</v>
      </c>
      <c r="V149" s="5">
        <f>ROUND(J149/P149,3)</f>
        <v>0.731</v>
      </c>
      <c r="W149" s="4">
        <f>ROUND(J149/(T149/100),0)</f>
        <v>50506</v>
      </c>
      <c r="X149" s="5">
        <f>ROUND(J149/(I149*4),3)</f>
        <v>0.861</v>
      </c>
      <c r="Y149" s="5">
        <f>ROUND(J149/(H149*4),3)</f>
        <v>1.557</v>
      </c>
      <c r="Z149" t="str">
        <f>IF(J149&gt;P149,"Yes","No")</f>
        <v>No</v>
      </c>
      <c r="AA149" s="6">
        <f>RANK(V149,V$2:V$201,0)</f>
        <v>187</v>
      </c>
      <c r="AB149" s="6">
        <f>RANK(W149,W$2:W$201,0)</f>
        <v>183</v>
      </c>
      <c r="AC149" s="3">
        <f>ROUND(L149/J149*100,1)</f>
        <v>36.7</v>
      </c>
      <c r="AD149" s="5">
        <f>ROUND(M149/G149*10000,2)</f>
        <v>0</v>
      </c>
      <c r="AE149" t="inlineStr">
        <is>
          <t>College Scorecard (US Dept. of Education); Nobel Prize API; NCAA; state columns: US Census, Bureau of Economic Analysis</t>
        </is>
      </c>
    </row>
    <row r="150">
      <c r="A150" t="inlineStr">
        <is>
          <t>University of South Alabama</t>
        </is>
      </c>
      <c r="B150" t="inlineStr">
        <is>
          <t>AL</t>
        </is>
      </c>
      <c r="C150" t="inlineStr">
        <is>
          <t>Alabama</t>
        </is>
      </c>
      <c r="D150" t="inlineStr">
        <is>
          <t>Mobile</t>
        </is>
      </c>
      <c r="E150" s="3" t="n">
        <v>71</v>
      </c>
      <c r="F150" t="n">
        <v>1147</v>
      </c>
      <c r="G150" t="n">
        <v>8879</v>
      </c>
      <c r="H150" s="4" t="n">
        <v>10116</v>
      </c>
      <c r="I150" s="4" t="n">
        <v>19092</v>
      </c>
      <c r="J150" s="4" t="n">
        <v>49379</v>
      </c>
      <c r="K150" s="3" t="n">
        <v>52.6</v>
      </c>
      <c r="L150" s="4" t="n">
        <v>24929</v>
      </c>
      <c r="M150" t="n">
        <v>0</v>
      </c>
      <c r="N150" t="inlineStr">
        <is>
          <t>No</t>
        </is>
      </c>
      <c r="O150" s="4" t="n">
        <v>36615</v>
      </c>
      <c r="P150" s="4" t="n">
        <v>60156</v>
      </c>
      <c r="Q150" s="4" t="n">
        <v>23541</v>
      </c>
      <c r="R150" s="5" t="n">
        <v>1.64</v>
      </c>
      <c r="S150" s="3" t="n">
        <v>64</v>
      </c>
      <c r="T150" s="3" t="n">
        <v>88.8</v>
      </c>
      <c r="U150" s="4">
        <f>J150-P150</f>
        <v>-10777</v>
      </c>
      <c r="V150" s="5">
        <f>ROUND(J150/P150,3)</f>
        <v>0.821</v>
      </c>
      <c r="W150" s="4">
        <f>ROUND(J150/(T150/100),0)</f>
        <v>55607</v>
      </c>
      <c r="X150" s="5">
        <f>ROUND(J150/(I150*4),3)</f>
        <v>0.647</v>
      </c>
      <c r="Y150" s="5">
        <f>ROUND(J150/(H150*4),3)</f>
        <v>1.22</v>
      </c>
      <c r="Z150" t="str">
        <f>IF(J150&gt;P150,"Yes","No")</f>
        <v>No</v>
      </c>
      <c r="AA150" s="6">
        <f>RANK(V150,V$2:V$201,0)</f>
        <v>160</v>
      </c>
      <c r="AB150" s="6">
        <f>RANK(W150,W$2:W$201,0)</f>
        <v>161</v>
      </c>
      <c r="AC150" s="3">
        <f>ROUND(L150/J150*100,1)</f>
        <v>50.5</v>
      </c>
      <c r="AD150" s="5">
        <f>ROUND(M150/G150*10000,2)</f>
        <v>0</v>
      </c>
      <c r="AE150" t="inlineStr">
        <is>
          <t>College Scorecard (US Dept. of Education); Nobel Prize API; NCAA; state columns: US Census, Bureau of Economic Analysis</t>
        </is>
      </c>
    </row>
    <row r="151">
      <c r="A151" t="inlineStr">
        <is>
          <t>Rutgers University-Newark</t>
        </is>
      </c>
      <c r="B151" t="inlineStr">
        <is>
          <t>NJ</t>
        </is>
      </c>
      <c r="C151" t="inlineStr">
        <is>
          <t>New Jersey</t>
        </is>
      </c>
      <c r="D151" t="inlineStr">
        <is>
          <t>Newark</t>
        </is>
      </c>
      <c r="E151" s="3" t="n">
        <v>71.40000000000001</v>
      </c>
      <c r="G151" t="n">
        <v>7709</v>
      </c>
      <c r="H151" s="4" t="n">
        <v>17250</v>
      </c>
      <c r="I151" s="4" t="n">
        <v>36762</v>
      </c>
      <c r="J151" s="4" t="n">
        <v>74479</v>
      </c>
      <c r="K151" s="3" t="n">
        <v>65.7</v>
      </c>
      <c r="L151" s="4" t="n">
        <v>21500</v>
      </c>
      <c r="M151" t="n">
        <v>0</v>
      </c>
      <c r="N151" t="inlineStr">
        <is>
          <t>No</t>
        </is>
      </c>
      <c r="O151" s="4" t="n">
        <v>41528</v>
      </c>
      <c r="P151" s="4" t="n">
        <v>80114</v>
      </c>
      <c r="Q151" s="4" t="n">
        <v>38586</v>
      </c>
      <c r="R151" s="5" t="n">
        <v>1.93</v>
      </c>
      <c r="S151" s="3" t="n">
        <v>93</v>
      </c>
      <c r="T151" s="3" t="n">
        <v>108.8</v>
      </c>
      <c r="U151" s="4">
        <f>J151-P151</f>
        <v>-5635</v>
      </c>
      <c r="V151" s="5">
        <f>ROUND(J151/P151,3)</f>
        <v>0.93</v>
      </c>
      <c r="W151" s="4">
        <f>ROUND(J151/(T151/100),0)</f>
        <v>68455</v>
      </c>
      <c r="X151" s="5">
        <f>ROUND(J151/(I151*4),3)</f>
        <v>0.506</v>
      </c>
      <c r="Y151" s="5">
        <f>ROUND(J151/(H151*4),3)</f>
        <v>1.079</v>
      </c>
      <c r="Z151" t="str">
        <f>IF(J151&gt;P151,"Yes","No")</f>
        <v>No</v>
      </c>
      <c r="AA151" s="6">
        <f>RANK(V151,V$2:V$201,0)</f>
        <v>131</v>
      </c>
      <c r="AB151" s="6">
        <f>RANK(W151,W$2:W$201,0)</f>
        <v>96</v>
      </c>
      <c r="AC151" s="3">
        <f>ROUND(L151/J151*100,1)</f>
        <v>28.9</v>
      </c>
      <c r="AD151" s="5">
        <f>ROUND(M151/G151*10000,2)</f>
        <v>0</v>
      </c>
      <c r="AE151" t="inlineStr">
        <is>
          <t>College Scorecard (US Dept. of Education); Nobel Prize API; NCAA; state columns: US Census, Bureau of Economic Analysis</t>
        </is>
      </c>
    </row>
    <row r="152">
      <c r="A152" t="inlineStr">
        <is>
          <t>Slippery Rock University of Pennsylvania</t>
        </is>
      </c>
      <c r="B152" t="inlineStr">
        <is>
          <t>PA</t>
        </is>
      </c>
      <c r="C152" t="inlineStr">
        <is>
          <t>Pennsylvania</t>
        </is>
      </c>
      <c r="D152" t="inlineStr">
        <is>
          <t>Slippery Rock</t>
        </is>
      </c>
      <c r="E152" s="3" t="n">
        <v>71.5</v>
      </c>
      <c r="F152" t="n">
        <v>1095</v>
      </c>
      <c r="G152" t="n">
        <v>6788</v>
      </c>
      <c r="H152" s="4" t="n">
        <v>10568</v>
      </c>
      <c r="I152" s="4" t="n">
        <v>14676</v>
      </c>
      <c r="J152" s="4" t="n">
        <v>53032</v>
      </c>
      <c r="K152" s="3" t="n">
        <v>65.7</v>
      </c>
      <c r="L152" s="4" t="n">
        <v>25000</v>
      </c>
      <c r="M152" t="n">
        <v>0</v>
      </c>
      <c r="N152" t="inlineStr">
        <is>
          <t>No</t>
        </is>
      </c>
      <c r="O152" s="4" t="n">
        <v>40336</v>
      </c>
      <c r="P152" s="4" t="n">
        <v>65678</v>
      </c>
      <c r="Q152" s="4" t="n">
        <v>25342</v>
      </c>
      <c r="R152" s="5" t="n">
        <v>1.63</v>
      </c>
      <c r="S152" s="3" t="n">
        <v>63</v>
      </c>
      <c r="T152" s="3" t="n">
        <v>97.59999999999999</v>
      </c>
      <c r="U152" s="4">
        <f>J152-P152</f>
        <v>-12646</v>
      </c>
      <c r="V152" s="5">
        <f>ROUND(J152/P152,3)</f>
        <v>0.8070000000000001</v>
      </c>
      <c r="W152" s="4">
        <f>ROUND(J152/(T152/100),0)</f>
        <v>54336</v>
      </c>
      <c r="X152" s="5">
        <f>ROUND(J152/(I152*4),3)</f>
        <v>0.903</v>
      </c>
      <c r="Y152" s="5">
        <f>ROUND(J152/(H152*4),3)</f>
        <v>1.255</v>
      </c>
      <c r="Z152" t="str">
        <f>IF(J152&gt;P152,"Yes","No")</f>
        <v>No</v>
      </c>
      <c r="AA152" s="6">
        <f>RANK(V152,V$2:V$201,0)</f>
        <v>166</v>
      </c>
      <c r="AB152" s="6">
        <f>RANK(W152,W$2:W$201,0)</f>
        <v>166</v>
      </c>
      <c r="AC152" s="3">
        <f>ROUND(L152/J152*100,1)</f>
        <v>47.1</v>
      </c>
      <c r="AD152" s="5">
        <f>ROUND(M152/G152*10000,2)</f>
        <v>0</v>
      </c>
      <c r="AE152" t="inlineStr">
        <is>
          <t>College Scorecard (US Dept. of Education); Nobel Prize API; NCAA; state columns: US Census, Bureau of Economic Analysis</t>
        </is>
      </c>
    </row>
    <row r="153">
      <c r="A153" t="inlineStr">
        <is>
          <t>James Madison University</t>
        </is>
      </c>
      <c r="B153" t="inlineStr">
        <is>
          <t>VA</t>
        </is>
      </c>
      <c r="C153" t="inlineStr">
        <is>
          <t>Virginia</t>
        </is>
      </c>
      <c r="D153" t="inlineStr">
        <is>
          <t>Harrisonburg</t>
        </is>
      </c>
      <c r="E153" s="3" t="n">
        <v>71.5</v>
      </c>
      <c r="F153" t="n">
        <v>1256</v>
      </c>
      <c r="G153" t="n">
        <v>20888</v>
      </c>
      <c r="H153" s="4" t="n">
        <v>14250</v>
      </c>
      <c r="I153" s="4" t="n">
        <v>31604</v>
      </c>
      <c r="J153" s="4" t="n">
        <v>69954</v>
      </c>
      <c r="K153" s="3" t="n">
        <v>80.3</v>
      </c>
      <c r="L153" s="4" t="n">
        <v>20093</v>
      </c>
      <c r="M153" t="n">
        <v>0</v>
      </c>
      <c r="N153" t="inlineStr">
        <is>
          <t>No</t>
        </is>
      </c>
      <c r="O153" s="4" t="n">
        <v>41061</v>
      </c>
      <c r="P153" s="4" t="n">
        <v>74468</v>
      </c>
      <c r="Q153" s="4" t="n">
        <v>33407</v>
      </c>
      <c r="R153" s="5" t="n">
        <v>1.81</v>
      </c>
      <c r="S153" s="3" t="n">
        <v>81</v>
      </c>
      <c r="T153" s="3" t="n">
        <v>101.1</v>
      </c>
      <c r="U153" s="4">
        <f>J153-P153</f>
        <v>-4514</v>
      </c>
      <c r="V153" s="5">
        <f>ROUND(J153/P153,3)</f>
        <v>0.9389999999999999</v>
      </c>
      <c r="W153" s="4">
        <f>ROUND(J153/(T153/100),0)</f>
        <v>69193</v>
      </c>
      <c r="X153" s="5">
        <f>ROUND(J153/(I153*4),3)</f>
        <v>0.553</v>
      </c>
      <c r="Y153" s="5">
        <f>ROUND(J153/(H153*4),3)</f>
        <v>1.227</v>
      </c>
      <c r="Z153" t="str">
        <f>IF(J153&gt;P153,"Yes","No")</f>
        <v>No</v>
      </c>
      <c r="AA153" s="6">
        <f>RANK(V153,V$2:V$201,0)</f>
        <v>126</v>
      </c>
      <c r="AB153" s="6">
        <f>RANK(W153,W$2:W$201,0)</f>
        <v>92</v>
      </c>
      <c r="AC153" s="3">
        <f>ROUND(L153/J153*100,1)</f>
        <v>28.7</v>
      </c>
      <c r="AD153" s="5">
        <f>ROUND(M153/G153*10000,2)</f>
        <v>0</v>
      </c>
      <c r="AE153" t="inlineStr">
        <is>
          <t>College Scorecard (US Dept. of Education); Nobel Prize API; NCAA; state columns: US Census, Bureau of Economic Analysis</t>
        </is>
      </c>
    </row>
    <row r="154">
      <c r="A154" t="inlineStr">
        <is>
          <t>University of Memphis</t>
        </is>
      </c>
      <c r="B154" t="inlineStr">
        <is>
          <t>TN</t>
        </is>
      </c>
      <c r="C154" t="inlineStr">
        <is>
          <t>Tennessee</t>
        </is>
      </c>
      <c r="D154" t="inlineStr">
        <is>
          <t>Memphis</t>
        </is>
      </c>
      <c r="E154" s="3" t="n">
        <v>72</v>
      </c>
      <c r="F154" t="n">
        <v>1088</v>
      </c>
      <c r="G154" t="n">
        <v>12701</v>
      </c>
      <c r="H154" s="4" t="n">
        <v>10728</v>
      </c>
      <c r="I154" s="4" t="n">
        <v>15384</v>
      </c>
      <c r="J154" s="4" t="n">
        <v>48458</v>
      </c>
      <c r="K154" s="3" t="n">
        <v>50.1</v>
      </c>
      <c r="L154" s="4" t="n">
        <v>23300</v>
      </c>
      <c r="M154" t="n">
        <v>0</v>
      </c>
      <c r="N154" t="inlineStr">
        <is>
          <t>No</t>
        </is>
      </c>
      <c r="O154" s="4" t="n">
        <v>37693</v>
      </c>
      <c r="P154" s="4" t="n">
        <v>61189</v>
      </c>
      <c r="Q154" s="4" t="n">
        <v>23496</v>
      </c>
      <c r="R154" s="5" t="n">
        <v>1.62</v>
      </c>
      <c r="S154" s="3" t="n">
        <v>62</v>
      </c>
      <c r="T154" s="3" t="n">
        <v>91.90000000000001</v>
      </c>
      <c r="U154" s="4">
        <f>J154-P154</f>
        <v>-12731</v>
      </c>
      <c r="V154" s="5">
        <f>ROUND(J154/P154,3)</f>
        <v>0.792</v>
      </c>
      <c r="W154" s="4">
        <f>ROUND(J154/(T154/100),0)</f>
        <v>52729</v>
      </c>
      <c r="X154" s="5">
        <f>ROUND(J154/(I154*4),3)</f>
        <v>0.787</v>
      </c>
      <c r="Y154" s="5">
        <f>ROUND(J154/(H154*4),3)</f>
        <v>1.129</v>
      </c>
      <c r="Z154" t="str">
        <f>IF(J154&gt;P154,"Yes","No")</f>
        <v>No</v>
      </c>
      <c r="AA154" s="6">
        <f>RANK(V154,V$2:V$201,0)</f>
        <v>172</v>
      </c>
      <c r="AB154" s="6">
        <f>RANK(W154,W$2:W$201,0)</f>
        <v>173</v>
      </c>
      <c r="AC154" s="3">
        <f>ROUND(L154/J154*100,1)</f>
        <v>48.1</v>
      </c>
      <c r="AD154" s="5">
        <f>ROUND(M154/G154*10000,2)</f>
        <v>0</v>
      </c>
      <c r="AE154" t="inlineStr">
        <is>
          <t>College Scorecard (US Dept. of Education); Nobel Prize API; NCAA; state columns: US Census, Bureau of Economic Analysis</t>
        </is>
      </c>
    </row>
    <row r="155">
      <c r="A155" t="inlineStr">
        <is>
          <t>Saginaw Valley State University</t>
        </is>
      </c>
      <c r="B155" t="inlineStr">
        <is>
          <t>MI</t>
        </is>
      </c>
      <c r="C155" t="inlineStr">
        <is>
          <t>Michigan</t>
        </is>
      </c>
      <c r="D155" t="inlineStr">
        <is>
          <t>University Center</t>
        </is>
      </c>
      <c r="E155" s="3" t="n">
        <v>72.09999999999999</v>
      </c>
      <c r="F155" t="n">
        <v>1052</v>
      </c>
      <c r="G155" t="n">
        <v>5989</v>
      </c>
      <c r="H155" s="4" t="n">
        <v>12930</v>
      </c>
      <c r="I155" s="4" t="n">
        <v>30450</v>
      </c>
      <c r="J155" s="4" t="n">
        <v>51955</v>
      </c>
      <c r="K155" s="3" t="n">
        <v>50.7</v>
      </c>
      <c r="L155" s="4" t="n">
        <v>25000</v>
      </c>
      <c r="M155" t="n">
        <v>0</v>
      </c>
      <c r="N155" t="inlineStr">
        <is>
          <t>No</t>
        </is>
      </c>
      <c r="O155" s="4" t="n">
        <v>36823</v>
      </c>
      <c r="P155" s="4" t="n">
        <v>64810</v>
      </c>
      <c r="Q155" s="4" t="n">
        <v>27987</v>
      </c>
      <c r="R155" s="5" t="n">
        <v>1.76</v>
      </c>
      <c r="S155" s="3" t="n">
        <v>76</v>
      </c>
      <c r="T155" s="3" t="n">
        <v>96.2</v>
      </c>
      <c r="U155" s="4">
        <f>J155-P155</f>
        <v>-12855</v>
      </c>
      <c r="V155" s="5">
        <f>ROUND(J155/P155,3)</f>
        <v>0.802</v>
      </c>
      <c r="W155" s="4">
        <f>ROUND(J155/(T155/100),0)</f>
        <v>54007</v>
      </c>
      <c r="X155" s="5">
        <f>ROUND(J155/(I155*4),3)</f>
        <v>0.427</v>
      </c>
      <c r="Y155" s="5">
        <f>ROUND(J155/(H155*4),3)</f>
        <v>1.005</v>
      </c>
      <c r="Z155" t="str">
        <f>IF(J155&gt;P155,"Yes","No")</f>
        <v>No</v>
      </c>
      <c r="AA155" s="6">
        <f>RANK(V155,V$2:V$201,0)</f>
        <v>168</v>
      </c>
      <c r="AB155" s="6">
        <f>RANK(W155,W$2:W$201,0)</f>
        <v>167</v>
      </c>
      <c r="AC155" s="3">
        <f>ROUND(L155/J155*100,1)</f>
        <v>48.1</v>
      </c>
      <c r="AD155" s="5">
        <f>ROUND(M155/G155*10000,2)</f>
        <v>0</v>
      </c>
      <c r="AE155" t="inlineStr">
        <is>
          <t>College Scorecard (US Dept. of Education); Nobel Prize API; NCAA; state columns: US Census, Bureau of Economic Analysis</t>
        </is>
      </c>
    </row>
    <row r="156">
      <c r="A156" t="inlineStr">
        <is>
          <t>Quinnipiac University</t>
        </is>
      </c>
      <c r="B156" t="inlineStr">
        <is>
          <t>CT</t>
        </is>
      </c>
      <c r="C156" t="inlineStr">
        <is>
          <t>Connecticut</t>
        </is>
      </c>
      <c r="D156" t="inlineStr">
        <is>
          <t>Hamden</t>
        </is>
      </c>
      <c r="E156" s="3" t="n">
        <v>72.2</v>
      </c>
      <c r="F156" t="n">
        <v>1242</v>
      </c>
      <c r="G156" t="n">
        <v>6531</v>
      </c>
      <c r="H156" s="4" t="n">
        <v>55480</v>
      </c>
      <c r="I156" s="4" t="n">
        <v>55480</v>
      </c>
      <c r="J156" s="4" t="n">
        <v>83759</v>
      </c>
      <c r="K156" s="3" t="n">
        <v>76.5</v>
      </c>
      <c r="L156" s="4" t="n">
        <v>26000</v>
      </c>
      <c r="M156" t="n">
        <v>0</v>
      </c>
      <c r="N156" t="inlineStr">
        <is>
          <t>No</t>
        </is>
      </c>
      <c r="O156" s="4" t="n">
        <v>42120</v>
      </c>
      <c r="P156" s="4" t="n">
        <v>75975</v>
      </c>
      <c r="Q156" s="4" t="n">
        <v>33855</v>
      </c>
      <c r="R156" s="5" t="n">
        <v>1.8</v>
      </c>
      <c r="S156" s="3" t="n">
        <v>80</v>
      </c>
      <c r="T156" s="3" t="n">
        <v>103.6</v>
      </c>
      <c r="U156" s="4">
        <f>J156-P156</f>
        <v>7784</v>
      </c>
      <c r="V156" s="5">
        <f>ROUND(J156/P156,3)</f>
        <v>1.102</v>
      </c>
      <c r="W156" s="4">
        <f>ROUND(J156/(T156/100),0)</f>
        <v>80848</v>
      </c>
      <c r="X156" s="5">
        <f>ROUND(J156/(I156*4),3)</f>
        <v>0.377</v>
      </c>
      <c r="Y156" s="5">
        <f>ROUND(J156/(H156*4),3)</f>
        <v>0.377</v>
      </c>
      <c r="Z156" t="str">
        <f>IF(J156&gt;P156,"Yes","No")</f>
        <v>Yes</v>
      </c>
      <c r="AA156" s="6">
        <f>RANK(V156,V$2:V$201,0)</f>
        <v>61</v>
      </c>
      <c r="AB156" s="6">
        <f>RANK(W156,W$2:W$201,0)</f>
        <v>43</v>
      </c>
      <c r="AC156" s="3">
        <f>ROUND(L156/J156*100,1)</f>
        <v>31</v>
      </c>
      <c r="AD156" s="5">
        <f>ROUND(M156/G156*10000,2)</f>
        <v>0</v>
      </c>
      <c r="AE156" t="inlineStr">
        <is>
          <t>College Scorecard (US Dept. of Education); Nobel Prize API; NCAA; state columns: US Census, Bureau of Economic Analysis</t>
        </is>
      </c>
    </row>
    <row r="157">
      <c r="A157" t="inlineStr">
        <is>
          <t>University of Rhode Island</t>
        </is>
      </c>
      <c r="B157" t="inlineStr">
        <is>
          <t>RI</t>
        </is>
      </c>
      <c r="C157" t="inlineStr">
        <is>
          <t>Rhode Island</t>
        </is>
      </c>
      <c r="D157" t="inlineStr">
        <is>
          <t>Kingston</t>
        </is>
      </c>
      <c r="E157" s="3" t="n">
        <v>72.2</v>
      </c>
      <c r="F157" t="n">
        <v>1160</v>
      </c>
      <c r="G157" t="n">
        <v>13381</v>
      </c>
      <c r="H157" s="4" t="n">
        <v>16942</v>
      </c>
      <c r="I157" s="4" t="n">
        <v>37146</v>
      </c>
      <c r="J157" s="4" t="n">
        <v>69743</v>
      </c>
      <c r="K157" s="3" t="n">
        <v>72.2</v>
      </c>
      <c r="L157" s="4" t="n">
        <v>22250</v>
      </c>
      <c r="M157" t="n">
        <v>0</v>
      </c>
      <c r="N157" t="inlineStr">
        <is>
          <t>No</t>
        </is>
      </c>
      <c r="O157" s="4" t="n">
        <v>43157</v>
      </c>
      <c r="P157" s="4" t="n">
        <v>68084</v>
      </c>
      <c r="Q157" s="4" t="n">
        <v>24927</v>
      </c>
      <c r="R157" s="5" t="n">
        <v>1.58</v>
      </c>
      <c r="S157" s="3" t="n">
        <v>58</v>
      </c>
      <c r="T157" s="3" t="n">
        <v>102.3</v>
      </c>
      <c r="U157" s="4">
        <f>J157-P157</f>
        <v>1659</v>
      </c>
      <c r="V157" s="5">
        <f>ROUND(J157/P157,3)</f>
        <v>1.024</v>
      </c>
      <c r="W157" s="4">
        <f>ROUND(J157/(T157/100),0)</f>
        <v>68175</v>
      </c>
      <c r="X157" s="5">
        <f>ROUND(J157/(I157*4),3)</f>
        <v>0.469</v>
      </c>
      <c r="Y157" s="5">
        <f>ROUND(J157/(H157*4),3)</f>
        <v>1.029</v>
      </c>
      <c r="Z157" t="str">
        <f>IF(J157&gt;P157,"Yes","No")</f>
        <v>Yes</v>
      </c>
      <c r="AA157" s="6">
        <f>RANK(V157,V$2:V$201,0)</f>
        <v>92</v>
      </c>
      <c r="AB157" s="6">
        <f>RANK(W157,W$2:W$201,0)</f>
        <v>98</v>
      </c>
      <c r="AC157" s="3">
        <f>ROUND(L157/J157*100,1)</f>
        <v>31.9</v>
      </c>
      <c r="AD157" s="5">
        <f>ROUND(M157/G157*10000,2)</f>
        <v>0</v>
      </c>
      <c r="AE157" t="inlineStr">
        <is>
          <t>College Scorecard (US Dept. of Education); Nobel Prize API; NCAA; state columns: US Census, Bureau of Economic Analysis</t>
        </is>
      </c>
    </row>
    <row r="158">
      <c r="A158" t="inlineStr">
        <is>
          <t>University of Missouri-Kansas City</t>
        </is>
      </c>
      <c r="B158" t="inlineStr">
        <is>
          <t>MO</t>
        </is>
      </c>
      <c r="C158" t="inlineStr">
        <is>
          <t>Missouri</t>
        </is>
      </c>
      <c r="D158" t="inlineStr">
        <is>
          <t>Kansas City</t>
        </is>
      </c>
      <c r="E158" s="3" t="n">
        <v>72.2</v>
      </c>
      <c r="F158" t="n">
        <v>1204</v>
      </c>
      <c r="G158" t="n">
        <v>6817</v>
      </c>
      <c r="H158" s="4" t="n">
        <v>12587</v>
      </c>
      <c r="I158" s="4" t="n">
        <v>30227</v>
      </c>
      <c r="J158" s="4" t="n">
        <v>59637</v>
      </c>
      <c r="K158" s="3" t="n">
        <v>55.7</v>
      </c>
      <c r="L158" s="4" t="n">
        <v>18750</v>
      </c>
      <c r="M158" t="n">
        <v>0</v>
      </c>
      <c r="N158" t="inlineStr">
        <is>
          <t>Yes</t>
        </is>
      </c>
      <c r="O158" s="4" t="n">
        <v>37420</v>
      </c>
      <c r="P158" s="4" t="n">
        <v>61418</v>
      </c>
      <c r="Q158" s="4" t="n">
        <v>23998</v>
      </c>
      <c r="R158" s="5" t="n">
        <v>1.64</v>
      </c>
      <c r="S158" s="3" t="n">
        <v>64</v>
      </c>
      <c r="T158" s="3" t="n">
        <v>90.8</v>
      </c>
      <c r="U158" s="4">
        <f>J158-P158</f>
        <v>-1781</v>
      </c>
      <c r="V158" s="5">
        <f>ROUND(J158/P158,3)</f>
        <v>0.971</v>
      </c>
      <c r="W158" s="4">
        <f>ROUND(J158/(T158/100),0)</f>
        <v>65680</v>
      </c>
      <c r="X158" s="5">
        <f>ROUND(J158/(I158*4),3)</f>
        <v>0.493</v>
      </c>
      <c r="Y158" s="5">
        <f>ROUND(J158/(H158*4),3)</f>
        <v>1.184</v>
      </c>
      <c r="Z158" t="str">
        <f>IF(J158&gt;P158,"Yes","No")</f>
        <v>No</v>
      </c>
      <c r="AA158" s="6">
        <f>RANK(V158,V$2:V$201,0)</f>
        <v>112</v>
      </c>
      <c r="AB158" s="6">
        <f>RANK(W158,W$2:W$201,0)</f>
        <v>108</v>
      </c>
      <c r="AC158" s="3">
        <f>ROUND(L158/J158*100,1)</f>
        <v>31.4</v>
      </c>
      <c r="AD158" s="5">
        <f>ROUND(M158/G158*10000,2)</f>
        <v>0</v>
      </c>
      <c r="AE158" t="inlineStr">
        <is>
          <t>College Scorecard (US Dept. of Education); Nobel Prize API; NCAA; state columns: US Census, Bureau of Economic Analysis</t>
        </is>
      </c>
    </row>
    <row r="159">
      <c r="A159" t="inlineStr">
        <is>
          <t>University of North Texas</t>
        </is>
      </c>
      <c r="B159" t="inlineStr">
        <is>
          <t>TX</t>
        </is>
      </c>
      <c r="C159" t="inlineStr">
        <is>
          <t>Texas</t>
        </is>
      </c>
      <c r="D159" t="inlineStr">
        <is>
          <t>Denton</t>
        </is>
      </c>
      <c r="E159" s="3" t="n">
        <v>72.2</v>
      </c>
      <c r="F159" t="n">
        <v>1109</v>
      </c>
      <c r="G159" t="n">
        <v>34341</v>
      </c>
      <c r="H159" s="4" t="n">
        <v>11309</v>
      </c>
      <c r="I159" s="4" t="n">
        <v>21149</v>
      </c>
      <c r="J159" s="4" t="n">
        <v>57010</v>
      </c>
      <c r="K159" s="3" t="n">
        <v>60.1</v>
      </c>
      <c r="L159" s="4" t="n">
        <v>19250</v>
      </c>
      <c r="M159" t="n">
        <v>0</v>
      </c>
      <c r="N159" t="inlineStr">
        <is>
          <t>No</t>
        </is>
      </c>
      <c r="O159" s="4" t="n">
        <v>37086</v>
      </c>
      <c r="P159" s="4" t="n">
        <v>66474</v>
      </c>
      <c r="Q159" s="4" t="n">
        <v>29388</v>
      </c>
      <c r="R159" s="5" t="n">
        <v>1.79</v>
      </c>
      <c r="S159" s="3" t="n">
        <v>79</v>
      </c>
      <c r="T159" s="3" t="n">
        <v>97.09999999999999</v>
      </c>
      <c r="U159" s="4">
        <f>J159-P159</f>
        <v>-9464</v>
      </c>
      <c r="V159" s="5">
        <f>ROUND(J159/P159,3)</f>
        <v>0.858</v>
      </c>
      <c r="W159" s="4">
        <f>ROUND(J159/(T159/100),0)</f>
        <v>58713</v>
      </c>
      <c r="X159" s="5">
        <f>ROUND(J159/(I159*4),3)</f>
        <v>0.674</v>
      </c>
      <c r="Y159" s="5">
        <f>ROUND(J159/(H159*4),3)</f>
        <v>1.26</v>
      </c>
      <c r="Z159" t="str">
        <f>IF(J159&gt;P159,"Yes","No")</f>
        <v>No</v>
      </c>
      <c r="AA159" s="6">
        <f>RANK(V159,V$2:V$201,0)</f>
        <v>151</v>
      </c>
      <c r="AB159" s="6">
        <f>RANK(W159,W$2:W$201,0)</f>
        <v>141</v>
      </c>
      <c r="AC159" s="3">
        <f>ROUND(L159/J159*100,1)</f>
        <v>33.8</v>
      </c>
      <c r="AD159" s="5">
        <f>ROUND(M159/G159*10000,2)</f>
        <v>0</v>
      </c>
      <c r="AE159" t="inlineStr">
        <is>
          <t>College Scorecard (US Dept. of Education); Nobel Prize API; NCAA; state columns: US Census, Bureau of Economic Analysis</t>
        </is>
      </c>
    </row>
    <row r="160">
      <c r="A160" t="inlineStr">
        <is>
          <t>Valdosta State University</t>
        </is>
      </c>
      <c r="B160" t="inlineStr">
        <is>
          <t>GA</t>
        </is>
      </c>
      <c r="C160" t="inlineStr">
        <is>
          <t>Georgia</t>
        </is>
      </c>
      <c r="D160" t="inlineStr">
        <is>
          <t>Valdosta</t>
        </is>
      </c>
      <c r="E160" s="3" t="n">
        <v>72.3</v>
      </c>
      <c r="F160" t="n">
        <v>1013</v>
      </c>
      <c r="G160" t="n">
        <v>6622</v>
      </c>
      <c r="H160" s="4" t="n">
        <v>6124</v>
      </c>
      <c r="I160" s="4" t="n">
        <v>17836</v>
      </c>
      <c r="J160" s="4" t="n">
        <v>49361</v>
      </c>
      <c r="K160" s="3" t="n">
        <v>42</v>
      </c>
      <c r="L160" s="4" t="n">
        <v>24779</v>
      </c>
      <c r="M160" t="n">
        <v>0</v>
      </c>
      <c r="N160" t="inlineStr">
        <is>
          <t>No</t>
        </is>
      </c>
      <c r="O160" s="4" t="n">
        <v>36820</v>
      </c>
      <c r="P160" s="4" t="n">
        <v>64185</v>
      </c>
      <c r="Q160" s="4" t="n">
        <v>27365</v>
      </c>
      <c r="R160" s="5" t="n">
        <v>1.74</v>
      </c>
      <c r="S160" s="3" t="n">
        <v>74</v>
      </c>
      <c r="T160" s="3" t="n">
        <v>96.3</v>
      </c>
      <c r="U160" s="4">
        <f>J160-P160</f>
        <v>-14824</v>
      </c>
      <c r="V160" s="5">
        <f>ROUND(J160/P160,3)</f>
        <v>0.769</v>
      </c>
      <c r="W160" s="4">
        <f>ROUND(J160/(T160/100),0)</f>
        <v>51258</v>
      </c>
      <c r="X160" s="5">
        <f>ROUND(J160/(I160*4),3)</f>
        <v>0.6919999999999999</v>
      </c>
      <c r="Y160" s="5">
        <f>ROUND(J160/(H160*4),3)</f>
        <v>2.015</v>
      </c>
      <c r="Z160" t="str">
        <f>IF(J160&gt;P160,"Yes","No")</f>
        <v>No</v>
      </c>
      <c r="AA160" s="6">
        <f>RANK(V160,V$2:V$201,0)</f>
        <v>179</v>
      </c>
      <c r="AB160" s="6">
        <f>RANK(W160,W$2:W$201,0)</f>
        <v>180</v>
      </c>
      <c r="AC160" s="3">
        <f>ROUND(L160/J160*100,1)</f>
        <v>50.2</v>
      </c>
      <c r="AD160" s="5">
        <f>ROUND(M160/G160*10000,2)</f>
        <v>0</v>
      </c>
      <c r="AE160" t="inlineStr">
        <is>
          <t>College Scorecard (US Dept. of Education); Nobel Prize API; NCAA; state columns: US Census, Bureau of Economic Analysis</t>
        </is>
      </c>
    </row>
    <row r="161">
      <c r="A161" t="inlineStr">
        <is>
          <t>Purdue University Northwest</t>
        </is>
      </c>
      <c r="B161" t="inlineStr">
        <is>
          <t>IN</t>
        </is>
      </c>
      <c r="C161" t="inlineStr">
        <is>
          <t>Indiana</t>
        </is>
      </c>
      <c r="D161" t="inlineStr">
        <is>
          <t>Hammond</t>
        </is>
      </c>
      <c r="E161" s="3" t="n">
        <v>72.40000000000001</v>
      </c>
      <c r="F161" t="n">
        <v>1024</v>
      </c>
      <c r="G161" t="n">
        <v>5671</v>
      </c>
      <c r="H161" s="4" t="n">
        <v>8675</v>
      </c>
      <c r="I161" s="4" t="n">
        <v>16094</v>
      </c>
      <c r="J161" s="4" t="n">
        <v>48318</v>
      </c>
      <c r="K161" s="3" t="n">
        <v>43.5</v>
      </c>
      <c r="L161" s="4" t="n">
        <v>21229</v>
      </c>
      <c r="M161" t="n">
        <v>0</v>
      </c>
      <c r="N161" t="inlineStr">
        <is>
          <t>No</t>
        </is>
      </c>
      <c r="O161" s="4" t="n">
        <v>39496</v>
      </c>
      <c r="P161" s="4" t="n">
        <v>60573</v>
      </c>
      <c r="Q161" s="4" t="n">
        <v>21077</v>
      </c>
      <c r="R161" s="5" t="n">
        <v>1.53</v>
      </c>
      <c r="S161" s="3" t="n">
        <v>53</v>
      </c>
      <c r="T161" s="3" t="n">
        <v>93.3</v>
      </c>
      <c r="U161" s="4">
        <f>J161-P161</f>
        <v>-12255</v>
      </c>
      <c r="V161" s="5">
        <f>ROUND(J161/P161,3)</f>
        <v>0.798</v>
      </c>
      <c r="W161" s="4">
        <f>ROUND(J161/(T161/100),0)</f>
        <v>51788</v>
      </c>
      <c r="X161" s="5">
        <f>ROUND(J161/(I161*4),3)</f>
        <v>0.751</v>
      </c>
      <c r="Y161" s="5">
        <f>ROUND(J161/(H161*4),3)</f>
        <v>1.392</v>
      </c>
      <c r="Z161" t="str">
        <f>IF(J161&gt;P161,"Yes","No")</f>
        <v>No</v>
      </c>
      <c r="AA161" s="6">
        <f>RANK(V161,V$2:V$201,0)</f>
        <v>169</v>
      </c>
      <c r="AB161" s="6">
        <f>RANK(W161,W$2:W$201,0)</f>
        <v>178</v>
      </c>
      <c r="AC161" s="3">
        <f>ROUND(L161/J161*100,1)</f>
        <v>43.9</v>
      </c>
      <c r="AD161" s="5">
        <f>ROUND(M161/G161*10000,2)</f>
        <v>0</v>
      </c>
      <c r="AE161" t="inlineStr">
        <is>
          <t>College Scorecard (US Dept. of Education); Nobel Prize API; NCAA; state columns: US Census, Bureau of Economic Analysis</t>
        </is>
      </c>
    </row>
    <row r="162">
      <c r="A162" t="inlineStr">
        <is>
          <t>Bowie State University</t>
        </is>
      </c>
      <c r="B162" t="inlineStr">
        <is>
          <t>MD</t>
        </is>
      </c>
      <c r="C162" t="inlineStr">
        <is>
          <t>Maryland</t>
        </is>
      </c>
      <c r="D162" t="inlineStr">
        <is>
          <t>Bowie</t>
        </is>
      </c>
      <c r="E162" s="3" t="n">
        <v>72.40000000000001</v>
      </c>
      <c r="G162" t="n">
        <v>5043</v>
      </c>
      <c r="H162" s="4" t="n">
        <v>9218</v>
      </c>
      <c r="I162" s="4" t="n">
        <v>19938</v>
      </c>
      <c r="J162" s="4" t="n">
        <v>54537</v>
      </c>
      <c r="K162" s="3" t="n">
        <v>38.2</v>
      </c>
      <c r="L162" s="4" t="n">
        <v>22985</v>
      </c>
      <c r="M162" t="n">
        <v>0</v>
      </c>
      <c r="N162" t="inlineStr">
        <is>
          <t>No</t>
        </is>
      </c>
      <c r="O162" s="4" t="n">
        <v>42778</v>
      </c>
      <c r="P162" s="4" t="n">
        <v>76748</v>
      </c>
      <c r="Q162" s="4" t="n">
        <v>33970</v>
      </c>
      <c r="R162" s="5" t="n">
        <v>1.79</v>
      </c>
      <c r="S162" s="3" t="n">
        <v>79</v>
      </c>
      <c r="T162" s="3" t="n">
        <v>105</v>
      </c>
      <c r="U162" s="4">
        <f>J162-P162</f>
        <v>-22211</v>
      </c>
      <c r="V162" s="5">
        <f>ROUND(J162/P162,3)</f>
        <v>0.711</v>
      </c>
      <c r="W162" s="4">
        <f>ROUND(J162/(T162/100),0)</f>
        <v>51940</v>
      </c>
      <c r="X162" s="5">
        <f>ROUND(J162/(I162*4),3)</f>
        <v>0.6840000000000001</v>
      </c>
      <c r="Y162" s="5">
        <f>ROUND(J162/(H162*4),3)</f>
        <v>1.479</v>
      </c>
      <c r="Z162" t="str">
        <f>IF(J162&gt;P162,"Yes","No")</f>
        <v>No</v>
      </c>
      <c r="AA162" s="6">
        <f>RANK(V162,V$2:V$201,0)</f>
        <v>193</v>
      </c>
      <c r="AB162" s="6">
        <f>RANK(W162,W$2:W$201,0)</f>
        <v>177</v>
      </c>
      <c r="AC162" s="3">
        <f>ROUND(L162/J162*100,1)</f>
        <v>42.1</v>
      </c>
      <c r="AD162" s="5">
        <f>ROUND(M162/G162*10000,2)</f>
        <v>0</v>
      </c>
      <c r="AE162" t="inlineStr">
        <is>
          <t>College Scorecard (US Dept. of Education); Nobel Prize API; NCAA; state columns: US Census, Bureau of Economic Analysis</t>
        </is>
      </c>
    </row>
    <row r="163">
      <c r="A163" t="inlineStr">
        <is>
          <t>University of Maryland-Baltimore County</t>
        </is>
      </c>
      <c r="B163" t="inlineStr">
        <is>
          <t>MD</t>
        </is>
      </c>
      <c r="C163" t="inlineStr">
        <is>
          <t>Maryland</t>
        </is>
      </c>
      <c r="D163" t="inlineStr">
        <is>
          <t>Baltimore</t>
        </is>
      </c>
      <c r="E163" s="3" t="n">
        <v>72.40000000000001</v>
      </c>
      <c r="F163" t="n">
        <v>1323</v>
      </c>
      <c r="G163" t="n">
        <v>10701</v>
      </c>
      <c r="H163" s="4" t="n">
        <v>13256</v>
      </c>
      <c r="I163" s="4" t="n">
        <v>31275</v>
      </c>
      <c r="J163" s="4" t="n">
        <v>69960</v>
      </c>
      <c r="K163" s="3" t="n">
        <v>70.3</v>
      </c>
      <c r="L163" s="4" t="n">
        <v>19500</v>
      </c>
      <c r="M163" t="n">
        <v>0</v>
      </c>
      <c r="N163" t="inlineStr">
        <is>
          <t>No</t>
        </is>
      </c>
      <c r="O163" s="4" t="n">
        <v>42778</v>
      </c>
      <c r="P163" s="4" t="n">
        <v>76748</v>
      </c>
      <c r="Q163" s="4" t="n">
        <v>33970</v>
      </c>
      <c r="R163" s="5" t="n">
        <v>1.79</v>
      </c>
      <c r="S163" s="3" t="n">
        <v>79</v>
      </c>
      <c r="T163" s="3" t="n">
        <v>105</v>
      </c>
      <c r="U163" s="4">
        <f>J163-P163</f>
        <v>-6788</v>
      </c>
      <c r="V163" s="5">
        <f>ROUND(J163/P163,3)</f>
        <v>0.912</v>
      </c>
      <c r="W163" s="4">
        <f>ROUND(J163/(T163/100),0)</f>
        <v>66629</v>
      </c>
      <c r="X163" s="5">
        <f>ROUND(J163/(I163*4),3)</f>
        <v>0.5590000000000001</v>
      </c>
      <c r="Y163" s="5">
        <f>ROUND(J163/(H163*4),3)</f>
        <v>1.319</v>
      </c>
      <c r="Z163" t="str">
        <f>IF(J163&gt;P163,"Yes","No")</f>
        <v>No</v>
      </c>
      <c r="AA163" s="6">
        <f>RANK(V163,V$2:V$201,0)</f>
        <v>138</v>
      </c>
      <c r="AB163" s="6">
        <f>RANK(W163,W$2:W$201,0)</f>
        <v>106</v>
      </c>
      <c r="AC163" s="3">
        <f>ROUND(L163/J163*100,1)</f>
        <v>27.9</v>
      </c>
      <c r="AD163" s="5">
        <f>ROUND(M163/G163*10000,2)</f>
        <v>0</v>
      </c>
      <c r="AE163" t="inlineStr">
        <is>
          <t>College Scorecard (US Dept. of Education); Nobel Prize API; NCAA; state columns: US Census, Bureau of Economic Analysis</t>
        </is>
      </c>
    </row>
    <row r="164">
      <c r="A164" t="inlineStr">
        <is>
          <t>Missouri University of Science and Technology</t>
        </is>
      </c>
      <c r="B164" t="inlineStr">
        <is>
          <t>MO</t>
        </is>
      </c>
      <c r="C164" t="inlineStr">
        <is>
          <t>Missouri</t>
        </is>
      </c>
      <c r="D164" t="inlineStr">
        <is>
          <t>Rolla</t>
        </is>
      </c>
      <c r="E164" s="3" t="n">
        <v>72.5</v>
      </c>
      <c r="F164" t="n">
        <v>1317</v>
      </c>
      <c r="G164" t="n">
        <v>5521</v>
      </c>
      <c r="H164" s="4" t="n">
        <v>14984</v>
      </c>
      <c r="I164" s="4" t="n">
        <v>33248</v>
      </c>
      <c r="J164" s="4" t="n">
        <v>82957</v>
      </c>
      <c r="K164" s="3" t="n">
        <v>64</v>
      </c>
      <c r="L164" s="4" t="n">
        <v>23250</v>
      </c>
      <c r="M164" t="n">
        <v>0</v>
      </c>
      <c r="N164" t="inlineStr">
        <is>
          <t>No</t>
        </is>
      </c>
      <c r="O164" s="4" t="n">
        <v>37420</v>
      </c>
      <c r="P164" s="4" t="n">
        <v>61418</v>
      </c>
      <c r="Q164" s="4" t="n">
        <v>23998</v>
      </c>
      <c r="R164" s="5" t="n">
        <v>1.64</v>
      </c>
      <c r="S164" s="3" t="n">
        <v>64</v>
      </c>
      <c r="T164" s="3" t="n">
        <v>90.8</v>
      </c>
      <c r="U164" s="4">
        <f>J164-P164</f>
        <v>21539</v>
      </c>
      <c r="V164" s="5">
        <f>ROUND(J164/P164,3)</f>
        <v>1.351</v>
      </c>
      <c r="W164" s="4">
        <f>ROUND(J164/(T164/100),0)</f>
        <v>91362</v>
      </c>
      <c r="X164" s="5">
        <f>ROUND(J164/(I164*4),3)</f>
        <v>0.624</v>
      </c>
      <c r="Y164" s="5">
        <f>ROUND(J164/(H164*4),3)</f>
        <v>1.384</v>
      </c>
      <c r="Z164" t="str">
        <f>IF(J164&gt;P164,"Yes","No")</f>
        <v>Yes</v>
      </c>
      <c r="AA164" s="6">
        <f>RANK(V164,V$2:V$201,0)</f>
        <v>21</v>
      </c>
      <c r="AB164" s="6">
        <f>RANK(W164,W$2:W$201,0)</f>
        <v>25</v>
      </c>
      <c r="AC164" s="3">
        <f>ROUND(L164/J164*100,1)</f>
        <v>28</v>
      </c>
      <c r="AD164" s="5">
        <f>ROUND(M164/G164*10000,2)</f>
        <v>0</v>
      </c>
      <c r="AE164" t="inlineStr">
        <is>
          <t>College Scorecard (US Dept. of Education); Nobel Prize API; NCAA; state columns: US Census, Bureau of Economic Analysis</t>
        </is>
      </c>
    </row>
    <row r="165">
      <c r="A165" t="inlineStr">
        <is>
          <t>Texas Tech University</t>
        </is>
      </c>
      <c r="B165" t="inlineStr">
        <is>
          <t>TX</t>
        </is>
      </c>
      <c r="C165" t="inlineStr">
        <is>
          <t>Texas</t>
        </is>
      </c>
      <c r="D165" t="inlineStr">
        <is>
          <t>Lubbock</t>
        </is>
      </c>
      <c r="E165" s="3" t="n">
        <v>72.7</v>
      </c>
      <c r="F165" t="n">
        <v>1190</v>
      </c>
      <c r="G165" t="n">
        <v>32394</v>
      </c>
      <c r="H165" s="4" t="n">
        <v>11852</v>
      </c>
      <c r="I165" s="4" t="n">
        <v>24451</v>
      </c>
      <c r="J165" s="4" t="n">
        <v>62454</v>
      </c>
      <c r="K165" s="3" t="n">
        <v>68.09999999999999</v>
      </c>
      <c r="L165" s="4" t="n">
        <v>21500</v>
      </c>
      <c r="M165" t="n">
        <v>0</v>
      </c>
      <c r="N165" t="inlineStr">
        <is>
          <t>Yes</t>
        </is>
      </c>
      <c r="O165" s="4" t="n">
        <v>37086</v>
      </c>
      <c r="P165" s="4" t="n">
        <v>66474</v>
      </c>
      <c r="Q165" s="4" t="n">
        <v>29388</v>
      </c>
      <c r="R165" s="5" t="n">
        <v>1.79</v>
      </c>
      <c r="S165" s="3" t="n">
        <v>79</v>
      </c>
      <c r="T165" s="3" t="n">
        <v>97.09999999999999</v>
      </c>
      <c r="U165" s="4">
        <f>J165-P165</f>
        <v>-4020</v>
      </c>
      <c r="V165" s="5">
        <f>ROUND(J165/P165,3)</f>
        <v>0.9399999999999999</v>
      </c>
      <c r="W165" s="4">
        <f>ROUND(J165/(T165/100),0)</f>
        <v>64319</v>
      </c>
      <c r="X165" s="5">
        <f>ROUND(J165/(I165*4),3)</f>
        <v>0.639</v>
      </c>
      <c r="Y165" s="5">
        <f>ROUND(J165/(H165*4),3)</f>
        <v>1.317</v>
      </c>
      <c r="Z165" t="str">
        <f>IF(J165&gt;P165,"Yes","No")</f>
        <v>No</v>
      </c>
      <c r="AA165" s="6">
        <f>RANK(V165,V$2:V$201,0)</f>
        <v>124</v>
      </c>
      <c r="AB165" s="6">
        <f>RANK(W165,W$2:W$201,0)</f>
        <v>119</v>
      </c>
      <c r="AC165" s="3">
        <f>ROUND(L165/J165*100,1)</f>
        <v>34.4</v>
      </c>
      <c r="AD165" s="5">
        <f>ROUND(M165/G165*10000,2)</f>
        <v>0</v>
      </c>
      <c r="AE165" t="inlineStr">
        <is>
          <t>College Scorecard (US Dept. of Education); Nobel Prize API; NCAA; state columns: US Census, Bureau of Economic Analysis</t>
        </is>
      </c>
    </row>
    <row r="166">
      <c r="A166" t="inlineStr">
        <is>
          <t>SUNY Buffalo State University</t>
        </is>
      </c>
      <c r="B166" t="inlineStr">
        <is>
          <t>NY</t>
        </is>
      </c>
      <c r="C166" t="inlineStr">
        <is>
          <t>New York</t>
        </is>
      </c>
      <c r="D166" t="inlineStr">
        <is>
          <t>Buffalo</t>
        </is>
      </c>
      <c r="E166" s="3" t="n">
        <v>73</v>
      </c>
      <c r="F166" t="n">
        <v>1070</v>
      </c>
      <c r="G166" t="n">
        <v>5097</v>
      </c>
      <c r="H166" s="4" t="n">
        <v>8533</v>
      </c>
      <c r="I166" s="4" t="n">
        <v>19653</v>
      </c>
      <c r="J166" s="4" t="n">
        <v>52334</v>
      </c>
      <c r="K166" s="3" t="n">
        <v>34.7</v>
      </c>
      <c r="L166" s="4" t="n">
        <v>21028</v>
      </c>
      <c r="M166" t="n">
        <v>0</v>
      </c>
      <c r="N166" t="inlineStr">
        <is>
          <t>No</t>
        </is>
      </c>
      <c r="O166" s="4" t="n">
        <v>39771</v>
      </c>
      <c r="P166" s="4" t="n">
        <v>74504</v>
      </c>
      <c r="Q166" s="4" t="n">
        <v>34733</v>
      </c>
      <c r="R166" s="5" t="n">
        <v>1.87</v>
      </c>
      <c r="S166" s="3" t="n">
        <v>87</v>
      </c>
      <c r="T166" s="3" t="n">
        <v>107.9</v>
      </c>
      <c r="U166" s="4">
        <f>J166-P166</f>
        <v>-22170</v>
      </c>
      <c r="V166" s="5">
        <f>ROUND(J166/P166,3)</f>
        <v>0.702</v>
      </c>
      <c r="W166" s="4">
        <f>ROUND(J166/(T166/100),0)</f>
        <v>48502</v>
      </c>
      <c r="X166" s="5">
        <f>ROUND(J166/(I166*4),3)</f>
        <v>0.666</v>
      </c>
      <c r="Y166" s="5">
        <f>ROUND(J166/(H166*4),3)</f>
        <v>1.533</v>
      </c>
      <c r="Z166" t="str">
        <f>IF(J166&gt;P166,"Yes","No")</f>
        <v>No</v>
      </c>
      <c r="AA166" s="6">
        <f>RANK(V166,V$2:V$201,0)</f>
        <v>195</v>
      </c>
      <c r="AB166" s="6">
        <f>RANK(W166,W$2:W$201,0)</f>
        <v>190</v>
      </c>
      <c r="AC166" s="3">
        <f>ROUND(L166/J166*100,1)</f>
        <v>40.2</v>
      </c>
      <c r="AD166" s="5">
        <f>ROUND(M166/G166*10000,2)</f>
        <v>0</v>
      </c>
      <c r="AE166" t="inlineStr">
        <is>
          <t>College Scorecard (US Dept. of Education); Nobel Prize API; NCAA; state columns: US Census, Bureau of Economic Analysis</t>
        </is>
      </c>
    </row>
    <row r="167">
      <c r="A167" t="inlineStr">
        <is>
          <t>Nova Southeastern University</t>
        </is>
      </c>
      <c r="B167" t="inlineStr">
        <is>
          <t>FL</t>
        </is>
      </c>
      <c r="C167" t="inlineStr">
        <is>
          <t>Florida</t>
        </is>
      </c>
      <c r="D167" t="inlineStr">
        <is>
          <t>Fort Lauderdale</t>
        </is>
      </c>
      <c r="E167" s="3" t="n">
        <v>73.2</v>
      </c>
      <c r="F167" t="n">
        <v>1157</v>
      </c>
      <c r="G167" t="n">
        <v>7240</v>
      </c>
      <c r="H167" s="4" t="n">
        <v>38700</v>
      </c>
      <c r="I167" s="4" t="n">
        <v>38700</v>
      </c>
      <c r="J167" s="4" t="n">
        <v>59209</v>
      </c>
      <c r="K167" s="3" t="n">
        <v>63.8</v>
      </c>
      <c r="L167" s="4" t="n">
        <v>24250</v>
      </c>
      <c r="M167" t="n">
        <v>0</v>
      </c>
      <c r="N167" t="inlineStr">
        <is>
          <t>No</t>
        </is>
      </c>
      <c r="O167" s="4" t="n">
        <v>36384</v>
      </c>
      <c r="P167" s="4" t="n">
        <v>58009</v>
      </c>
      <c r="Q167" s="4" t="n">
        <v>21625</v>
      </c>
      <c r="R167" s="5" t="n">
        <v>1.59</v>
      </c>
      <c r="S167" s="3" t="n">
        <v>59</v>
      </c>
      <c r="T167" s="3" t="n">
        <v>103.4</v>
      </c>
      <c r="U167" s="4">
        <f>J167-P167</f>
        <v>1200</v>
      </c>
      <c r="V167" s="5">
        <f>ROUND(J167/P167,3)</f>
        <v>1.021</v>
      </c>
      <c r="W167" s="4">
        <f>ROUND(J167/(T167/100),0)</f>
        <v>57262</v>
      </c>
      <c r="X167" s="5">
        <f>ROUND(J167/(I167*4),3)</f>
        <v>0.382</v>
      </c>
      <c r="Y167" s="5">
        <f>ROUND(J167/(H167*4),3)</f>
        <v>0.382</v>
      </c>
      <c r="Z167" t="str">
        <f>IF(J167&gt;P167,"Yes","No")</f>
        <v>Yes</v>
      </c>
      <c r="AA167" s="6">
        <f>RANK(V167,V$2:V$201,0)</f>
        <v>93</v>
      </c>
      <c r="AB167" s="6">
        <f>RANK(W167,W$2:W$201,0)</f>
        <v>153</v>
      </c>
      <c r="AC167" s="3">
        <f>ROUND(L167/J167*100,1)</f>
        <v>41</v>
      </c>
      <c r="AD167" s="5">
        <f>ROUND(M167/G167*10000,2)</f>
        <v>0</v>
      </c>
      <c r="AE167" t="inlineStr">
        <is>
          <t>College Scorecard (US Dept. of Education); Nobel Prize API; NCAA; state columns: US Census, Bureau of Economic Analysis</t>
        </is>
      </c>
    </row>
    <row r="168">
      <c r="A168" t="inlineStr">
        <is>
          <t>Seton Hall University</t>
        </is>
      </c>
      <c r="B168" t="inlineStr">
        <is>
          <t>NJ</t>
        </is>
      </c>
      <c r="C168" t="inlineStr">
        <is>
          <t>New Jersey</t>
        </is>
      </c>
      <c r="D168" t="inlineStr">
        <is>
          <t>South Orange</t>
        </is>
      </c>
      <c r="E168" s="3" t="n">
        <v>73.3</v>
      </c>
      <c r="F168" t="n">
        <v>1322</v>
      </c>
      <c r="G168" t="n">
        <v>6036</v>
      </c>
      <c r="H168" s="4" t="n">
        <v>53170</v>
      </c>
      <c r="I168" s="4" t="n">
        <v>53170</v>
      </c>
      <c r="J168" s="4" t="n">
        <v>70196</v>
      </c>
      <c r="K168" s="3" t="n">
        <v>70.5</v>
      </c>
      <c r="L168" s="4" t="n">
        <v>22750</v>
      </c>
      <c r="M168" t="n">
        <v>0</v>
      </c>
      <c r="N168" t="inlineStr">
        <is>
          <t>No</t>
        </is>
      </c>
      <c r="O168" s="4" t="n">
        <v>41528</v>
      </c>
      <c r="P168" s="4" t="n">
        <v>80114</v>
      </c>
      <c r="Q168" s="4" t="n">
        <v>38586</v>
      </c>
      <c r="R168" s="5" t="n">
        <v>1.93</v>
      </c>
      <c r="S168" s="3" t="n">
        <v>93</v>
      </c>
      <c r="T168" s="3" t="n">
        <v>108.8</v>
      </c>
      <c r="U168" s="4">
        <f>J168-P168</f>
        <v>-9918</v>
      </c>
      <c r="V168" s="5">
        <f>ROUND(J168/P168,3)</f>
        <v>0.876</v>
      </c>
      <c r="W168" s="4">
        <f>ROUND(J168/(T168/100),0)</f>
        <v>64518</v>
      </c>
      <c r="X168" s="5">
        <f>ROUND(J168/(I168*4),3)</f>
        <v>0.33</v>
      </c>
      <c r="Y168" s="5">
        <f>ROUND(J168/(H168*4),3)</f>
        <v>0.33</v>
      </c>
      <c r="Z168" t="str">
        <f>IF(J168&gt;P168,"Yes","No")</f>
        <v>No</v>
      </c>
      <c r="AA168" s="6">
        <f>RANK(V168,V$2:V$201,0)</f>
        <v>147</v>
      </c>
      <c r="AB168" s="6">
        <f>RANK(W168,W$2:W$201,0)</f>
        <v>118</v>
      </c>
      <c r="AC168" s="3">
        <f>ROUND(L168/J168*100,1)</f>
        <v>32.4</v>
      </c>
      <c r="AD168" s="5">
        <f>ROUND(M168/G168*10000,2)</f>
        <v>0</v>
      </c>
      <c r="AE168" t="inlineStr">
        <is>
          <t>College Scorecard (US Dept. of Education); Nobel Prize API; NCAA; state columns: US Census, Bureau of Economic Analysis</t>
        </is>
      </c>
    </row>
    <row r="169">
      <c r="A169" t="inlineStr">
        <is>
          <t>Louisiana State University and Agricultural &amp; Mechanical College</t>
        </is>
      </c>
      <c r="B169" t="inlineStr">
        <is>
          <t>LA</t>
        </is>
      </c>
      <c r="C169" t="inlineStr">
        <is>
          <t>Louisiana</t>
        </is>
      </c>
      <c r="D169" t="inlineStr">
        <is>
          <t>Baton Rouge</t>
        </is>
      </c>
      <c r="E169" s="3" t="n">
        <v>73.3</v>
      </c>
      <c r="F169" t="n">
        <v>1285</v>
      </c>
      <c r="G169" t="n">
        <v>30594</v>
      </c>
      <c r="H169" s="4" t="n">
        <v>11954</v>
      </c>
      <c r="I169" s="4" t="n">
        <v>28631</v>
      </c>
      <c r="J169" s="4" t="n">
        <v>61251</v>
      </c>
      <c r="K169" s="3" t="n">
        <v>69.8</v>
      </c>
      <c r="L169" s="4" t="n">
        <v>20500</v>
      </c>
      <c r="M169" t="n">
        <v>0</v>
      </c>
      <c r="N169" t="inlineStr">
        <is>
          <t>No</t>
        </is>
      </c>
      <c r="O169" s="4" t="n">
        <v>36132</v>
      </c>
      <c r="P169" s="4" t="n">
        <v>57107</v>
      </c>
      <c r="Q169" s="4" t="n">
        <v>20975</v>
      </c>
      <c r="R169" s="5" t="n">
        <v>1.58</v>
      </c>
      <c r="S169" s="3" t="n">
        <v>58</v>
      </c>
      <c r="T169" s="3" t="n">
        <v>88.2</v>
      </c>
      <c r="U169" s="4">
        <f>J169-P169</f>
        <v>4144</v>
      </c>
      <c r="V169" s="5">
        <f>ROUND(J169/P169,3)</f>
        <v>1.073</v>
      </c>
      <c r="W169" s="4">
        <f>ROUND(J169/(T169/100),0)</f>
        <v>69446</v>
      </c>
      <c r="X169" s="5">
        <f>ROUND(J169/(I169*4),3)</f>
        <v>0.535</v>
      </c>
      <c r="Y169" s="5">
        <f>ROUND(J169/(H169*4),3)</f>
        <v>1.281</v>
      </c>
      <c r="Z169" t="str">
        <f>IF(J169&gt;P169,"Yes","No")</f>
        <v>Yes</v>
      </c>
      <c r="AA169" s="6">
        <f>RANK(V169,V$2:V$201,0)</f>
        <v>70</v>
      </c>
      <c r="AB169" s="6">
        <f>RANK(W169,W$2:W$201,0)</f>
        <v>90</v>
      </c>
      <c r="AC169" s="3">
        <f>ROUND(L169/J169*100,1)</f>
        <v>33.5</v>
      </c>
      <c r="AD169" s="5">
        <f>ROUND(M169/G169*10000,2)</f>
        <v>0</v>
      </c>
      <c r="AE169" t="inlineStr">
        <is>
          <t>College Scorecard (US Dept. of Education); Nobel Prize API; NCAA; state columns: US Census, Bureau of Economic Analysis</t>
        </is>
      </c>
    </row>
    <row r="170">
      <c r="A170" t="inlineStr">
        <is>
          <t>Central Connecticut State University</t>
        </is>
      </c>
      <c r="B170" t="inlineStr">
        <is>
          <t>CT</t>
        </is>
      </c>
      <c r="C170" t="inlineStr">
        <is>
          <t>Connecticut</t>
        </is>
      </c>
      <c r="D170" t="inlineStr">
        <is>
          <t>New Britain</t>
        </is>
      </c>
      <c r="E170" s="3" t="n">
        <v>73.3</v>
      </c>
      <c r="F170" t="n">
        <v>1080</v>
      </c>
      <c r="G170" t="n">
        <v>7822</v>
      </c>
      <c r="H170" s="4" t="n">
        <v>13050</v>
      </c>
      <c r="I170" s="4" t="n">
        <v>16550</v>
      </c>
      <c r="J170" s="4" t="n">
        <v>58562</v>
      </c>
      <c r="K170" s="3" t="n">
        <v>48.9</v>
      </c>
      <c r="L170" s="4" t="n">
        <v>22300</v>
      </c>
      <c r="M170" t="n">
        <v>0</v>
      </c>
      <c r="N170" t="inlineStr">
        <is>
          <t>No</t>
        </is>
      </c>
      <c r="O170" s="4" t="n">
        <v>42120</v>
      </c>
      <c r="P170" s="4" t="n">
        <v>75975</v>
      </c>
      <c r="Q170" s="4" t="n">
        <v>33855</v>
      </c>
      <c r="R170" s="5" t="n">
        <v>1.8</v>
      </c>
      <c r="S170" s="3" t="n">
        <v>80</v>
      </c>
      <c r="T170" s="3" t="n">
        <v>103.6</v>
      </c>
      <c r="U170" s="4">
        <f>J170-P170</f>
        <v>-17413</v>
      </c>
      <c r="V170" s="5">
        <f>ROUND(J170/P170,3)</f>
        <v>0.771</v>
      </c>
      <c r="W170" s="4">
        <f>ROUND(J170/(T170/100),0)</f>
        <v>56527</v>
      </c>
      <c r="X170" s="5">
        <f>ROUND(J170/(I170*4),3)</f>
        <v>0.885</v>
      </c>
      <c r="Y170" s="5">
        <f>ROUND(J170/(H170*4),3)</f>
        <v>1.122</v>
      </c>
      <c r="Z170" t="str">
        <f>IF(J170&gt;P170,"Yes","No")</f>
        <v>No</v>
      </c>
      <c r="AA170" s="6">
        <f>RANK(V170,V$2:V$201,0)</f>
        <v>178</v>
      </c>
      <c r="AB170" s="6">
        <f>RANK(W170,W$2:W$201,0)</f>
        <v>155</v>
      </c>
      <c r="AC170" s="3">
        <f>ROUND(L170/J170*100,1)</f>
        <v>38.1</v>
      </c>
      <c r="AD170" s="5">
        <f>ROUND(M170/G170*10000,2)</f>
        <v>0</v>
      </c>
      <c r="AE170" t="inlineStr">
        <is>
          <t>College Scorecard (US Dept. of Education); Nobel Prize API; NCAA; state columns: US Census, Bureau of Economic Analysis</t>
        </is>
      </c>
    </row>
    <row r="171">
      <c r="A171" t="inlineStr">
        <is>
          <t>Southeast Missouri State University</t>
        </is>
      </c>
      <c r="B171" t="inlineStr">
        <is>
          <t>MO</t>
        </is>
      </c>
      <c r="C171" t="inlineStr">
        <is>
          <t>Missouri</t>
        </is>
      </c>
      <c r="D171" t="inlineStr">
        <is>
          <t>Cape Girardeau</t>
        </is>
      </c>
      <c r="E171" s="3" t="n">
        <v>73.5</v>
      </c>
      <c r="F171" t="n">
        <v>950</v>
      </c>
      <c r="G171" t="n">
        <v>6373</v>
      </c>
      <c r="H171" s="4" t="n">
        <v>9903</v>
      </c>
      <c r="I171" s="4" t="n">
        <v>9903</v>
      </c>
      <c r="J171" s="4" t="n">
        <v>44030</v>
      </c>
      <c r="K171" s="3" t="n">
        <v>56.7</v>
      </c>
      <c r="L171" s="4" t="n">
        <v>21500</v>
      </c>
      <c r="M171" t="n">
        <v>0</v>
      </c>
      <c r="N171" t="inlineStr">
        <is>
          <t>No</t>
        </is>
      </c>
      <c r="O171" s="4" t="n">
        <v>37420</v>
      </c>
      <c r="P171" s="4" t="n">
        <v>61418</v>
      </c>
      <c r="Q171" s="4" t="n">
        <v>23998</v>
      </c>
      <c r="R171" s="5" t="n">
        <v>1.64</v>
      </c>
      <c r="S171" s="3" t="n">
        <v>64</v>
      </c>
      <c r="T171" s="3" t="n">
        <v>90.8</v>
      </c>
      <c r="U171" s="4">
        <f>J171-P171</f>
        <v>-17388</v>
      </c>
      <c r="V171" s="5">
        <f>ROUND(J171/P171,3)</f>
        <v>0.717</v>
      </c>
      <c r="W171" s="4">
        <f>ROUND(J171/(T171/100),0)</f>
        <v>48491</v>
      </c>
      <c r="X171" s="5">
        <f>ROUND(J171/(I171*4),3)</f>
        <v>1.112</v>
      </c>
      <c r="Y171" s="5">
        <f>ROUND(J171/(H171*4),3)</f>
        <v>1.112</v>
      </c>
      <c r="Z171" t="str">
        <f>IF(J171&gt;P171,"Yes","No")</f>
        <v>No</v>
      </c>
      <c r="AA171" s="6">
        <f>RANK(V171,V$2:V$201,0)</f>
        <v>190</v>
      </c>
      <c r="AB171" s="6">
        <f>RANK(W171,W$2:W$201,0)</f>
        <v>191</v>
      </c>
      <c r="AC171" s="3">
        <f>ROUND(L171/J171*100,1)</f>
        <v>48.8</v>
      </c>
      <c r="AD171" s="5">
        <f>ROUND(M171/G171*10000,2)</f>
        <v>0</v>
      </c>
      <c r="AE171" t="inlineStr">
        <is>
          <t>College Scorecard (US Dept. of Education); Nobel Prize API; NCAA; state columns: US Census, Bureau of Economic Analysis</t>
        </is>
      </c>
    </row>
    <row r="172">
      <c r="A172" t="inlineStr">
        <is>
          <t>University of Nevada-Reno</t>
        </is>
      </c>
      <c r="B172" t="inlineStr">
        <is>
          <t>NV</t>
        </is>
      </c>
      <c r="C172" t="inlineStr">
        <is>
          <t>Nevada</t>
        </is>
      </c>
      <c r="D172" t="inlineStr">
        <is>
          <t>Reno</t>
        </is>
      </c>
      <c r="E172" s="3" t="n">
        <v>73.7</v>
      </c>
      <c r="F172" t="n">
        <v>1132</v>
      </c>
      <c r="G172" t="n">
        <v>15599</v>
      </c>
      <c r="H172" s="4" t="n">
        <v>9578</v>
      </c>
      <c r="I172" s="4" t="n">
        <v>27720</v>
      </c>
      <c r="J172" s="4" t="n">
        <v>60614</v>
      </c>
      <c r="K172" s="3" t="n">
        <v>61.8</v>
      </c>
      <c r="L172" s="4" t="n">
        <v>18922</v>
      </c>
      <c r="M172" t="n">
        <v>0</v>
      </c>
      <c r="N172" t="inlineStr">
        <is>
          <t>No</t>
        </is>
      </c>
      <c r="O172" s="4" t="n">
        <v>39090</v>
      </c>
      <c r="P172" s="4" t="n">
        <v>60775</v>
      </c>
      <c r="Q172" s="4" t="n">
        <v>21685</v>
      </c>
      <c r="R172" s="5" t="n">
        <v>1.55</v>
      </c>
      <c r="S172" s="3" t="n">
        <v>55</v>
      </c>
      <c r="T172" s="3" t="n">
        <v>100</v>
      </c>
      <c r="U172" s="4">
        <f>J172-P172</f>
        <v>-161</v>
      </c>
      <c r="V172" s="5">
        <f>ROUND(J172/P172,3)</f>
        <v>0.997</v>
      </c>
      <c r="W172" s="4">
        <f>ROUND(J172/(T172/100),0)</f>
        <v>60614</v>
      </c>
      <c r="X172" s="5">
        <f>ROUND(J172/(I172*4),3)</f>
        <v>0.547</v>
      </c>
      <c r="Y172" s="5">
        <f>ROUND(J172/(H172*4),3)</f>
        <v>1.582</v>
      </c>
      <c r="Z172" t="str">
        <f>IF(J172&gt;P172,"Yes","No")</f>
        <v>No</v>
      </c>
      <c r="AA172" s="6">
        <f>RANK(V172,V$2:V$201,0)</f>
        <v>101</v>
      </c>
      <c r="AB172" s="6">
        <f>RANK(W172,W$2:W$201,0)</f>
        <v>133</v>
      </c>
      <c r="AC172" s="3">
        <f>ROUND(L172/J172*100,1)</f>
        <v>31.2</v>
      </c>
      <c r="AD172" s="5">
        <f>ROUND(M172/G172*10000,2)</f>
        <v>0</v>
      </c>
      <c r="AE172" t="inlineStr">
        <is>
          <t>College Scorecard (US Dept. of Education); Nobel Prize API; NCAA; state columns: US Census, Bureau of Economic Analysis</t>
        </is>
      </c>
    </row>
    <row r="173">
      <c r="A173" t="inlineStr">
        <is>
          <t>University of Houston</t>
        </is>
      </c>
      <c r="B173" t="inlineStr">
        <is>
          <t>TX</t>
        </is>
      </c>
      <c r="C173" t="inlineStr">
        <is>
          <t>Texas</t>
        </is>
      </c>
      <c r="D173" t="inlineStr">
        <is>
          <t>Houston</t>
        </is>
      </c>
      <c r="E173" s="3" t="n">
        <v>73.90000000000001</v>
      </c>
      <c r="F173" t="n">
        <v>1250</v>
      </c>
      <c r="G173" t="n">
        <v>38380</v>
      </c>
      <c r="H173" s="4" t="n">
        <v>9717</v>
      </c>
      <c r="I173" s="4" t="n">
        <v>22547</v>
      </c>
      <c r="J173" s="4" t="n">
        <v>62377</v>
      </c>
      <c r="K173" s="3" t="n">
        <v>64.7</v>
      </c>
      <c r="L173" s="4" t="n">
        <v>18194</v>
      </c>
      <c r="M173" t="n">
        <v>0</v>
      </c>
      <c r="N173" t="inlineStr">
        <is>
          <t>Yes</t>
        </is>
      </c>
      <c r="O173" s="4" t="n">
        <v>37086</v>
      </c>
      <c r="P173" s="4" t="n">
        <v>66474</v>
      </c>
      <c r="Q173" s="4" t="n">
        <v>29388</v>
      </c>
      <c r="R173" s="5" t="n">
        <v>1.79</v>
      </c>
      <c r="S173" s="3" t="n">
        <v>79</v>
      </c>
      <c r="T173" s="3" t="n">
        <v>97.09999999999999</v>
      </c>
      <c r="U173" s="4">
        <f>J173-P173</f>
        <v>-4097</v>
      </c>
      <c r="V173" s="5">
        <f>ROUND(J173/P173,3)</f>
        <v>0.9379999999999999</v>
      </c>
      <c r="W173" s="4">
        <f>ROUND(J173/(T173/100),0)</f>
        <v>64240</v>
      </c>
      <c r="X173" s="5">
        <f>ROUND(J173/(I173*4),3)</f>
        <v>0.6919999999999999</v>
      </c>
      <c r="Y173" s="5">
        <f>ROUND(J173/(H173*4),3)</f>
        <v>1.605</v>
      </c>
      <c r="Z173" t="str">
        <f>IF(J173&gt;P173,"Yes","No")</f>
        <v>No</v>
      </c>
      <c r="AA173" s="6">
        <f>RANK(V173,V$2:V$201,0)</f>
        <v>128</v>
      </c>
      <c r="AB173" s="6">
        <f>RANK(W173,W$2:W$201,0)</f>
        <v>120</v>
      </c>
      <c r="AC173" s="3">
        <f>ROUND(L173/J173*100,1)</f>
        <v>29.2</v>
      </c>
      <c r="AD173" s="5">
        <f>ROUND(M173/G173*10000,2)</f>
        <v>0</v>
      </c>
      <c r="AE173" t="inlineStr">
        <is>
          <t>College Scorecard (US Dept. of Education); Nobel Prize API; NCAA; state columns: US Census, Bureau of Economic Analysis</t>
        </is>
      </c>
    </row>
    <row r="174">
      <c r="A174" t="inlineStr">
        <is>
          <t>University at Buffalo</t>
        </is>
      </c>
      <c r="B174" t="inlineStr">
        <is>
          <t>NY</t>
        </is>
      </c>
      <c r="C174" t="inlineStr">
        <is>
          <t>New York</t>
        </is>
      </c>
      <c r="D174" t="inlineStr">
        <is>
          <t>Buffalo</t>
        </is>
      </c>
      <c r="E174" s="3" t="n">
        <v>74.2</v>
      </c>
      <c r="F174" t="n">
        <v>1295</v>
      </c>
      <c r="G174" t="n">
        <v>20112</v>
      </c>
      <c r="H174" s="4" t="n">
        <v>10936</v>
      </c>
      <c r="I174" s="4" t="n">
        <v>31536</v>
      </c>
      <c r="J174" s="4" t="n">
        <v>70814</v>
      </c>
      <c r="K174" s="3" t="n">
        <v>74.3</v>
      </c>
      <c r="L174" s="4" t="n">
        <v>19000</v>
      </c>
      <c r="M174" t="n">
        <v>0</v>
      </c>
      <c r="N174" t="inlineStr">
        <is>
          <t>No</t>
        </is>
      </c>
      <c r="O174" s="4" t="n">
        <v>39771</v>
      </c>
      <c r="P174" s="4" t="n">
        <v>74504</v>
      </c>
      <c r="Q174" s="4" t="n">
        <v>34733</v>
      </c>
      <c r="R174" s="5" t="n">
        <v>1.87</v>
      </c>
      <c r="S174" s="3" t="n">
        <v>87</v>
      </c>
      <c r="T174" s="3" t="n">
        <v>107.9</v>
      </c>
      <c r="U174" s="4">
        <f>J174-P174</f>
        <v>-3690</v>
      </c>
      <c r="V174" s="5">
        <f>ROUND(J174/P174,3)</f>
        <v>0.95</v>
      </c>
      <c r="W174" s="4">
        <f>ROUND(J174/(T174/100),0)</f>
        <v>65629</v>
      </c>
      <c r="X174" s="5">
        <f>ROUND(J174/(I174*4),3)</f>
        <v>0.5610000000000001</v>
      </c>
      <c r="Y174" s="5">
        <f>ROUND(J174/(H174*4),3)</f>
        <v>1.619</v>
      </c>
      <c r="Z174" t="str">
        <f>IF(J174&gt;P174,"Yes","No")</f>
        <v>No</v>
      </c>
      <c r="AA174" s="6">
        <f>RANK(V174,V$2:V$201,0)</f>
        <v>120</v>
      </c>
      <c r="AB174" s="6">
        <f>RANK(W174,W$2:W$201,0)</f>
        <v>109</v>
      </c>
      <c r="AC174" s="3">
        <f>ROUND(L174/J174*100,1)</f>
        <v>26.8</v>
      </c>
      <c r="AD174" s="5">
        <f>ROUND(M174/G174*10000,2)</f>
        <v>0</v>
      </c>
      <c r="AE174" t="inlineStr">
        <is>
          <t>College Scorecard (US Dept. of Education); Nobel Prize API; NCAA; state columns: US Census, Bureau of Economic Analysis</t>
        </is>
      </c>
    </row>
    <row r="175">
      <c r="A175" t="inlineStr">
        <is>
          <t>University of Arkansas</t>
        </is>
      </c>
      <c r="B175" t="inlineStr">
        <is>
          <t>AR</t>
        </is>
      </c>
      <c r="C175" t="inlineStr">
        <is>
          <t>Arkansas</t>
        </is>
      </c>
      <c r="D175" t="inlineStr">
        <is>
          <t>Fayetteville</t>
        </is>
      </c>
      <c r="E175" s="3" t="n">
        <v>74.3</v>
      </c>
      <c r="F175" t="n">
        <v>1169</v>
      </c>
      <c r="G175" t="n">
        <v>28677</v>
      </c>
      <c r="H175" s="4" t="n">
        <v>10104</v>
      </c>
      <c r="I175" s="4" t="n">
        <v>29966</v>
      </c>
      <c r="J175" s="4" t="n">
        <v>58191</v>
      </c>
      <c r="K175" s="3" t="n">
        <v>70.2</v>
      </c>
      <c r="L175" s="4" t="n">
        <v>21500</v>
      </c>
      <c r="M175" t="n">
        <v>0</v>
      </c>
      <c r="N175" t="inlineStr">
        <is>
          <t>Yes</t>
        </is>
      </c>
      <c r="O175" s="4" t="n">
        <v>36012</v>
      </c>
      <c r="P175" s="4" t="n">
        <v>56314</v>
      </c>
      <c r="Q175" s="4" t="n">
        <v>20302</v>
      </c>
      <c r="R175" s="5" t="n">
        <v>1.56</v>
      </c>
      <c r="S175" s="3" t="n">
        <v>56</v>
      </c>
      <c r="T175" s="3" t="n">
        <v>86.90000000000001</v>
      </c>
      <c r="U175" s="4">
        <f>J175-P175</f>
        <v>1877</v>
      </c>
      <c r="V175" s="5">
        <f>ROUND(J175/P175,3)</f>
        <v>1.033</v>
      </c>
      <c r="W175" s="4">
        <f>ROUND(J175/(T175/100),0)</f>
        <v>66963</v>
      </c>
      <c r="X175" s="5">
        <f>ROUND(J175/(I175*4),3)</f>
        <v>0.485</v>
      </c>
      <c r="Y175" s="5">
        <f>ROUND(J175/(H175*4),3)</f>
        <v>1.44</v>
      </c>
      <c r="Z175" t="str">
        <f>IF(J175&gt;P175,"Yes","No")</f>
        <v>Yes</v>
      </c>
      <c r="AA175" s="6">
        <f>RANK(V175,V$2:V$201,0)</f>
        <v>82</v>
      </c>
      <c r="AB175" s="6">
        <f>RANK(W175,W$2:W$201,0)</f>
        <v>104</v>
      </c>
      <c r="AC175" s="3">
        <f>ROUND(L175/J175*100,1)</f>
        <v>36.9</v>
      </c>
      <c r="AD175" s="5">
        <f>ROUND(M175/G175*10000,2)</f>
        <v>0</v>
      </c>
      <c r="AE175" t="inlineStr">
        <is>
          <t>College Scorecard (US Dept. of Education); Nobel Prize API; NCAA; state columns: US Census, Bureau of Economic Analysis</t>
        </is>
      </c>
    </row>
    <row r="176">
      <c r="A176" t="inlineStr">
        <is>
          <t>ECPI University</t>
        </is>
      </c>
      <c r="B176" t="inlineStr">
        <is>
          <t>VA</t>
        </is>
      </c>
      <c r="C176" t="inlineStr">
        <is>
          <t>Virginia</t>
        </is>
      </c>
      <c r="D176" t="inlineStr">
        <is>
          <t>Virginia Beach</t>
        </is>
      </c>
      <c r="E176" s="3" t="n">
        <v>74.5</v>
      </c>
      <c r="G176" t="n">
        <v>12090</v>
      </c>
      <c r="H176" s="4" t="n">
        <v>18484</v>
      </c>
      <c r="I176" s="4" t="n">
        <v>18484</v>
      </c>
      <c r="J176" s="4" t="n">
        <v>42837</v>
      </c>
      <c r="K176" s="3" t="n">
        <v>43.5</v>
      </c>
      <c r="L176" s="4" t="n">
        <v>20000</v>
      </c>
      <c r="M176" t="n">
        <v>0</v>
      </c>
      <c r="N176" t="inlineStr">
        <is>
          <t>No</t>
        </is>
      </c>
      <c r="O176" s="4" t="n">
        <v>41061</v>
      </c>
      <c r="P176" s="4" t="n">
        <v>74468</v>
      </c>
      <c r="Q176" s="4" t="n">
        <v>33407</v>
      </c>
      <c r="R176" s="5" t="n">
        <v>1.81</v>
      </c>
      <c r="S176" s="3" t="n">
        <v>81</v>
      </c>
      <c r="T176" s="3" t="n">
        <v>101.1</v>
      </c>
      <c r="U176" s="4">
        <f>J176-P176</f>
        <v>-31631</v>
      </c>
      <c r="V176" s="5">
        <f>ROUND(J176/P176,3)</f>
        <v>0.575</v>
      </c>
      <c r="W176" s="4">
        <f>ROUND(J176/(T176/100),0)</f>
        <v>42371</v>
      </c>
      <c r="X176" s="5">
        <f>ROUND(J176/(I176*4),3)</f>
        <v>0.579</v>
      </c>
      <c r="Y176" s="5">
        <f>ROUND(J176/(H176*4),3)</f>
        <v>0.579</v>
      </c>
      <c r="Z176" t="str">
        <f>IF(J176&gt;P176,"Yes","No")</f>
        <v>No</v>
      </c>
      <c r="AA176" s="6">
        <f>RANK(V176,V$2:V$201,0)</f>
        <v>198</v>
      </c>
      <c r="AB176" s="6">
        <f>RANK(W176,W$2:W$201,0)</f>
        <v>196</v>
      </c>
      <c r="AC176" s="3">
        <f>ROUND(L176/J176*100,1)</f>
        <v>46.7</v>
      </c>
      <c r="AD176" s="5">
        <f>ROUND(M176/G176*10000,2)</f>
        <v>0</v>
      </c>
      <c r="AE176" t="inlineStr">
        <is>
          <t>College Scorecard (US Dept. of Education); Nobel Prize API; NCAA; state columns: US Census, Bureau of Economic Analysis</t>
        </is>
      </c>
    </row>
    <row r="177">
      <c r="A177" t="inlineStr">
        <is>
          <t>University of Colorado Denver/Anschutz Medical Campus</t>
        </is>
      </c>
      <c r="B177" t="inlineStr">
        <is>
          <t>CO</t>
        </is>
      </c>
      <c r="C177" t="inlineStr">
        <is>
          <t>Colorado</t>
        </is>
      </c>
      <c r="D177" t="inlineStr">
        <is>
          <t>Denver</t>
        </is>
      </c>
      <c r="E177" s="3" t="n">
        <v>74.7</v>
      </c>
      <c r="F177" t="n">
        <v>1116</v>
      </c>
      <c r="G177" t="n">
        <v>10519</v>
      </c>
      <c r="H177" s="4" t="n">
        <v>10383</v>
      </c>
      <c r="I177" s="4" t="n">
        <v>29391</v>
      </c>
      <c r="J177" s="4" t="n">
        <v>64270</v>
      </c>
      <c r="K177" s="3" t="n">
        <v>46.7</v>
      </c>
      <c r="L177" s="4" t="n">
        <v>20500</v>
      </c>
      <c r="M177" t="n">
        <v>0</v>
      </c>
      <c r="N177" t="inlineStr">
        <is>
          <t>No</t>
        </is>
      </c>
      <c r="O177" s="4" t="n">
        <v>42541</v>
      </c>
      <c r="P177" s="4" t="n">
        <v>73072</v>
      </c>
      <c r="Q177" s="4" t="n">
        <v>30531</v>
      </c>
      <c r="R177" s="5" t="n">
        <v>1.72</v>
      </c>
      <c r="S177" s="3" t="n">
        <v>72</v>
      </c>
      <c r="T177" s="3" t="n">
        <v>103.1</v>
      </c>
      <c r="U177" s="4">
        <f>J177-P177</f>
        <v>-8802</v>
      </c>
      <c r="V177" s="5">
        <f>ROUND(J177/P177,3)</f>
        <v>0.88</v>
      </c>
      <c r="W177" s="4">
        <f>ROUND(J177/(T177/100),0)</f>
        <v>62338</v>
      </c>
      <c r="X177" s="5">
        <f>ROUND(J177/(I177*4),3)</f>
        <v>0.547</v>
      </c>
      <c r="Y177" s="5">
        <f>ROUND(J177/(H177*4),3)</f>
        <v>1.547</v>
      </c>
      <c r="Z177" t="str">
        <f>IF(J177&gt;P177,"Yes","No")</f>
        <v>No</v>
      </c>
      <c r="AA177" s="6">
        <f>RANK(V177,V$2:V$201,0)</f>
        <v>146</v>
      </c>
      <c r="AB177" s="6">
        <f>RANK(W177,W$2:W$201,0)</f>
        <v>126</v>
      </c>
      <c r="AC177" s="3">
        <f>ROUND(L177/J177*100,1)</f>
        <v>31.9</v>
      </c>
      <c r="AD177" s="5">
        <f>ROUND(M177/G177*10000,2)</f>
        <v>0</v>
      </c>
      <c r="AE177" t="inlineStr">
        <is>
          <t>College Scorecard (US Dept. of Education); Nobel Prize API; NCAA; state columns: US Census, Bureau of Economic Analysis</t>
        </is>
      </c>
    </row>
    <row r="178">
      <c r="A178" t="inlineStr">
        <is>
          <t>Oklahoma State University-Main Campus</t>
        </is>
      </c>
      <c r="B178" t="inlineStr">
        <is>
          <t>OK</t>
        </is>
      </c>
      <c r="C178" t="inlineStr">
        <is>
          <t>Oklahoma</t>
        </is>
      </c>
      <c r="D178" t="inlineStr">
        <is>
          <t>Stillwater</t>
        </is>
      </c>
      <c r="E178" s="3" t="n">
        <v>75</v>
      </c>
      <c r="F178" t="n">
        <v>1150</v>
      </c>
      <c r="G178" t="n">
        <v>21773</v>
      </c>
      <c r="H178" s="4" t="n">
        <v>10234</v>
      </c>
      <c r="I178" s="4" t="n">
        <v>25754</v>
      </c>
      <c r="J178" s="4" t="n">
        <v>57413</v>
      </c>
      <c r="K178" s="3" t="n">
        <v>67</v>
      </c>
      <c r="L178" s="4" t="n">
        <v>20500</v>
      </c>
      <c r="M178" t="n">
        <v>0</v>
      </c>
      <c r="N178" t="inlineStr">
        <is>
          <t>No</t>
        </is>
      </c>
      <c r="O178" s="4" t="n">
        <v>35929</v>
      </c>
      <c r="P178" s="4" t="n">
        <v>55663</v>
      </c>
      <c r="Q178" s="4" t="n">
        <v>19734</v>
      </c>
      <c r="R178" s="5" t="n">
        <v>1.55</v>
      </c>
      <c r="S178" s="3" t="n">
        <v>55</v>
      </c>
      <c r="T178" s="3" t="n">
        <v>87.8</v>
      </c>
      <c r="U178" s="4">
        <f>J178-P178</f>
        <v>1750</v>
      </c>
      <c r="V178" s="5">
        <f>ROUND(J178/P178,3)</f>
        <v>1.031</v>
      </c>
      <c r="W178" s="4">
        <f>ROUND(J178/(T178/100),0)</f>
        <v>65391</v>
      </c>
      <c r="X178" s="5">
        <f>ROUND(J178/(I178*4),3)</f>
        <v>0.5570000000000001</v>
      </c>
      <c r="Y178" s="5">
        <f>ROUND(J178/(H178*4),3)</f>
        <v>1.403</v>
      </c>
      <c r="Z178" t="str">
        <f>IF(J178&gt;P178,"Yes","No")</f>
        <v>Yes</v>
      </c>
      <c r="AA178" s="6">
        <f>RANK(V178,V$2:V$201,0)</f>
        <v>84</v>
      </c>
      <c r="AB178" s="6">
        <f>RANK(W178,W$2:W$201,0)</f>
        <v>111</v>
      </c>
      <c r="AC178" s="3">
        <f>ROUND(L178/J178*100,1)</f>
        <v>35.7</v>
      </c>
      <c r="AD178" s="5">
        <f>ROUND(M178/G178*10000,2)</f>
        <v>0</v>
      </c>
      <c r="AE178" t="inlineStr">
        <is>
          <t>College Scorecard (US Dept. of Education); Nobel Prize API; NCAA; state columns: US Census, Bureau of Economic Analysis</t>
        </is>
      </c>
    </row>
    <row r="179">
      <c r="A179" t="inlineStr">
        <is>
          <t>Saint Louis University</t>
        </is>
      </c>
      <c r="B179" t="inlineStr">
        <is>
          <t>MO</t>
        </is>
      </c>
      <c r="C179" t="inlineStr">
        <is>
          <t>Missouri</t>
        </is>
      </c>
      <c r="D179" t="inlineStr">
        <is>
          <t>Saint Louis</t>
        </is>
      </c>
      <c r="E179" s="3" t="n">
        <v>75</v>
      </c>
      <c r="F179" t="n">
        <v>1317</v>
      </c>
      <c r="G179" t="n">
        <v>7267</v>
      </c>
      <c r="H179" s="4" t="n">
        <v>55760</v>
      </c>
      <c r="I179" s="4" t="n">
        <v>55760</v>
      </c>
      <c r="J179" s="4" t="n">
        <v>70783</v>
      </c>
      <c r="K179" s="3" t="n">
        <v>79.7</v>
      </c>
      <c r="L179" s="4" t="n">
        <v>25000</v>
      </c>
      <c r="M179" t="n">
        <v>1</v>
      </c>
      <c r="N179" t="inlineStr">
        <is>
          <t>Yes</t>
        </is>
      </c>
      <c r="O179" s="4" t="n">
        <v>37420</v>
      </c>
      <c r="P179" s="4" t="n">
        <v>61418</v>
      </c>
      <c r="Q179" s="4" t="n">
        <v>23998</v>
      </c>
      <c r="R179" s="5" t="n">
        <v>1.64</v>
      </c>
      <c r="S179" s="3" t="n">
        <v>64</v>
      </c>
      <c r="T179" s="3" t="n">
        <v>90.8</v>
      </c>
      <c r="U179" s="4">
        <f>J179-P179</f>
        <v>9365</v>
      </c>
      <c r="V179" s="5">
        <f>ROUND(J179/P179,3)</f>
        <v>1.152</v>
      </c>
      <c r="W179" s="4">
        <f>ROUND(J179/(T179/100),0)</f>
        <v>77955</v>
      </c>
      <c r="X179" s="5">
        <f>ROUND(J179/(I179*4),3)</f>
        <v>0.317</v>
      </c>
      <c r="Y179" s="5">
        <f>ROUND(J179/(H179*4),3)</f>
        <v>0.317</v>
      </c>
      <c r="Z179" t="str">
        <f>IF(J179&gt;P179,"Yes","No")</f>
        <v>Yes</v>
      </c>
      <c r="AA179" s="6">
        <f>RANK(V179,V$2:V$201,0)</f>
        <v>48</v>
      </c>
      <c r="AB179" s="6">
        <f>RANK(W179,W$2:W$201,0)</f>
        <v>53</v>
      </c>
      <c r="AC179" s="3">
        <f>ROUND(L179/J179*100,1)</f>
        <v>35.3</v>
      </c>
      <c r="AD179" s="5">
        <f>ROUND(M179/G179*10000,2)</f>
        <v>1.38</v>
      </c>
      <c r="AE179" t="inlineStr">
        <is>
          <t>College Scorecard (US Dept. of Education); Nobel Prize API; NCAA; state columns: US Census, Bureau of Economic Analysis</t>
        </is>
      </c>
    </row>
    <row r="180">
      <c r="A180" t="inlineStr">
        <is>
          <t>California State Polytechnic University-Pomona</t>
        </is>
      </c>
      <c r="B180" t="inlineStr">
        <is>
          <t>CA</t>
        </is>
      </c>
      <c r="C180" t="inlineStr">
        <is>
          <t>California</t>
        </is>
      </c>
      <c r="D180" t="inlineStr">
        <is>
          <t>Pomona</t>
        </is>
      </c>
      <c r="E180" s="3" t="n">
        <v>75.2</v>
      </c>
      <c r="G180" t="n">
        <v>25042</v>
      </c>
      <c r="H180" s="4" t="n">
        <v>7780</v>
      </c>
      <c r="I180" s="4" t="n">
        <v>20380</v>
      </c>
      <c r="J180" s="4" t="n">
        <v>71902</v>
      </c>
      <c r="K180" s="3" t="n">
        <v>67.59999999999999</v>
      </c>
      <c r="L180" s="4" t="n">
        <v>16000</v>
      </c>
      <c r="M180" t="n">
        <v>0</v>
      </c>
      <c r="N180" t="inlineStr">
        <is>
          <t>No</t>
        </is>
      </c>
      <c r="O180" s="4" t="n">
        <v>40803</v>
      </c>
      <c r="P180" s="4" t="n">
        <v>78278</v>
      </c>
      <c r="Q180" s="4" t="n">
        <v>37475</v>
      </c>
      <c r="R180" s="5" t="n">
        <v>1.92</v>
      </c>
      <c r="S180" s="3" t="n">
        <v>92</v>
      </c>
      <c r="T180" s="3" t="n">
        <v>110.7</v>
      </c>
      <c r="U180" s="4">
        <f>J180-P180</f>
        <v>-6376</v>
      </c>
      <c r="V180" s="5">
        <f>ROUND(J180/P180,3)</f>
        <v>0.919</v>
      </c>
      <c r="W180" s="4">
        <f>ROUND(J180/(T180/100),0)</f>
        <v>64952</v>
      </c>
      <c r="X180" s="5">
        <f>ROUND(J180/(I180*4),3)</f>
        <v>0.882</v>
      </c>
      <c r="Y180" s="5">
        <f>ROUND(J180/(H180*4),3)</f>
        <v>2.31</v>
      </c>
      <c r="Z180" t="str">
        <f>IF(J180&gt;P180,"Yes","No")</f>
        <v>No</v>
      </c>
      <c r="AA180" s="6">
        <f>RANK(V180,V$2:V$201,0)</f>
        <v>136</v>
      </c>
      <c r="AB180" s="6">
        <f>RANK(W180,W$2:W$201,0)</f>
        <v>116</v>
      </c>
      <c r="AC180" s="3">
        <f>ROUND(L180/J180*100,1)</f>
        <v>22.3</v>
      </c>
      <c r="AD180" s="5">
        <f>ROUND(M180/G180*10000,2)</f>
        <v>0</v>
      </c>
      <c r="AE180" t="inlineStr">
        <is>
          <t>College Scorecard (US Dept. of Education); Nobel Prize API; NCAA; state columns: US Census, Bureau of Economic Analysis</t>
        </is>
      </c>
    </row>
    <row r="181">
      <c r="A181" t="inlineStr">
        <is>
          <t>Coastal Carolina University</t>
        </is>
      </c>
      <c r="B181" t="inlineStr">
        <is>
          <t>SC</t>
        </is>
      </c>
      <c r="C181" t="inlineStr">
        <is>
          <t>South Carolina</t>
        </is>
      </c>
      <c r="D181" t="inlineStr">
        <is>
          <t>Conway</t>
        </is>
      </c>
      <c r="E181" s="3" t="n">
        <v>75.3</v>
      </c>
      <c r="F181" t="n">
        <v>1143</v>
      </c>
      <c r="G181" t="n">
        <v>10377</v>
      </c>
      <c r="H181" s="4" t="n">
        <v>11640</v>
      </c>
      <c r="I181" s="4" t="n">
        <v>29628</v>
      </c>
      <c r="J181" s="4" t="n">
        <v>47258</v>
      </c>
      <c r="K181" s="3" t="n">
        <v>49.7</v>
      </c>
      <c r="L181" s="4" t="n">
        <v>23750</v>
      </c>
      <c r="M181" t="n">
        <v>0</v>
      </c>
      <c r="N181" t="inlineStr">
        <is>
          <t>No</t>
        </is>
      </c>
      <c r="O181" s="4" t="n">
        <v>36740</v>
      </c>
      <c r="P181" s="4" t="n">
        <v>60590</v>
      </c>
      <c r="Q181" s="4" t="n">
        <v>23850</v>
      </c>
      <c r="R181" s="5" t="n">
        <v>1.65</v>
      </c>
      <c r="S181" s="3" t="n">
        <v>65</v>
      </c>
      <c r="T181" s="3" t="n">
        <v>93.7</v>
      </c>
      <c r="U181" s="4">
        <f>J181-P181</f>
        <v>-13332</v>
      </c>
      <c r="V181" s="5">
        <f>ROUND(J181/P181,3)</f>
        <v>0.78</v>
      </c>
      <c r="W181" s="4">
        <f>ROUND(J181/(T181/100),0)</f>
        <v>50435</v>
      </c>
      <c r="X181" s="5">
        <f>ROUND(J181/(I181*4),3)</f>
        <v>0.399</v>
      </c>
      <c r="Y181" s="5">
        <f>ROUND(J181/(H181*4),3)</f>
        <v>1.015</v>
      </c>
      <c r="Z181" t="str">
        <f>IF(J181&gt;P181,"Yes","No")</f>
        <v>No</v>
      </c>
      <c r="AA181" s="6">
        <f>RANK(V181,V$2:V$201,0)</f>
        <v>174</v>
      </c>
      <c r="AB181" s="6">
        <f>RANK(W181,W$2:W$201,0)</f>
        <v>184</v>
      </c>
      <c r="AC181" s="3">
        <f>ROUND(L181/J181*100,1)</f>
        <v>50.3</v>
      </c>
      <c r="AD181" s="5">
        <f>ROUND(M181/G181*10000,2)</f>
        <v>0</v>
      </c>
      <c r="AE181" t="inlineStr">
        <is>
          <t>College Scorecard (US Dept. of Education); Nobel Prize API; NCAA; state columns: US Census, Bureau of Economic Analysis</t>
        </is>
      </c>
    </row>
    <row r="182">
      <c r="A182" t="inlineStr">
        <is>
          <t>High Point University</t>
        </is>
      </c>
      <c r="B182" t="inlineStr">
        <is>
          <t>NC</t>
        </is>
      </c>
      <c r="C182" t="inlineStr">
        <is>
          <t>North Carolina</t>
        </is>
      </c>
      <c r="D182" t="inlineStr">
        <is>
          <t>High Point</t>
        </is>
      </c>
      <c r="E182" s="3" t="n">
        <v>75.3</v>
      </c>
      <c r="F182" t="n">
        <v>1288</v>
      </c>
      <c r="G182" t="n">
        <v>5129</v>
      </c>
      <c r="H182" s="4" t="n">
        <v>45312</v>
      </c>
      <c r="I182" s="4" t="n">
        <v>45312</v>
      </c>
      <c r="J182" s="4" t="n">
        <v>61389</v>
      </c>
      <c r="K182" s="3" t="n">
        <v>72.09999999999999</v>
      </c>
      <c r="L182" s="4" t="n">
        <v>24575</v>
      </c>
      <c r="M182" t="n">
        <v>0</v>
      </c>
      <c r="N182" t="inlineStr">
        <is>
          <t>Yes</t>
        </is>
      </c>
      <c r="O182" s="4" t="n">
        <v>36723</v>
      </c>
      <c r="P182" s="4" t="n">
        <v>62338</v>
      </c>
      <c r="Q182" s="4" t="n">
        <v>25615</v>
      </c>
      <c r="R182" s="5" t="n">
        <v>1.7</v>
      </c>
      <c r="S182" s="3" t="n">
        <v>70</v>
      </c>
      <c r="T182" s="3" t="n">
        <v>94.3</v>
      </c>
      <c r="U182" s="4">
        <f>J182-P182</f>
        <v>-949</v>
      </c>
      <c r="V182" s="5">
        <f>ROUND(J182/P182,3)</f>
        <v>0.985</v>
      </c>
      <c r="W182" s="4">
        <f>ROUND(J182/(T182/100),0)</f>
        <v>65100</v>
      </c>
      <c r="X182" s="5">
        <f>ROUND(J182/(I182*4),3)</f>
        <v>0.339</v>
      </c>
      <c r="Y182" s="5">
        <f>ROUND(J182/(H182*4),3)</f>
        <v>0.339</v>
      </c>
      <c r="Z182" t="str">
        <f>IF(J182&gt;P182,"Yes","No")</f>
        <v>No</v>
      </c>
      <c r="AA182" s="6">
        <f>RANK(V182,V$2:V$201,0)</f>
        <v>107</v>
      </c>
      <c r="AB182" s="6">
        <f>RANK(W182,W$2:W$201,0)</f>
        <v>113</v>
      </c>
      <c r="AC182" s="3">
        <f>ROUND(L182/J182*100,1)</f>
        <v>40</v>
      </c>
      <c r="AD182" s="5">
        <f>ROUND(M182/G182*10000,2)</f>
        <v>0</v>
      </c>
      <c r="AE182" t="inlineStr">
        <is>
          <t>College Scorecard (US Dept. of Education); Nobel Prize API; NCAA; state columns: US Census, Bureau of Economic Analysis</t>
        </is>
      </c>
    </row>
    <row r="183">
      <c r="A183" t="inlineStr">
        <is>
          <t>Miami University-Oxford</t>
        </is>
      </c>
      <c r="B183" t="inlineStr">
        <is>
          <t>OH</t>
        </is>
      </c>
      <c r="C183" t="inlineStr">
        <is>
          <t>Ohio</t>
        </is>
      </c>
      <c r="D183" t="inlineStr">
        <is>
          <t>Oxford</t>
        </is>
      </c>
      <c r="E183" s="3" t="n">
        <v>75.40000000000001</v>
      </c>
      <c r="F183" t="n">
        <v>1317</v>
      </c>
      <c r="G183" t="n">
        <v>16656</v>
      </c>
      <c r="H183" s="4" t="n">
        <v>18161</v>
      </c>
      <c r="I183" s="4" t="n">
        <v>41221</v>
      </c>
      <c r="J183" s="4" t="n">
        <v>55076</v>
      </c>
      <c r="K183" s="3" t="n">
        <v>80.8</v>
      </c>
      <c r="L183" s="4" t="n">
        <v>23000</v>
      </c>
      <c r="M183" t="n">
        <v>0</v>
      </c>
      <c r="N183" t="inlineStr">
        <is>
          <t>Yes</t>
        </is>
      </c>
      <c r="O183" s="4" t="n">
        <v>37990</v>
      </c>
      <c r="P183" s="4" t="n">
        <v>64933</v>
      </c>
      <c r="Q183" s="4" t="n">
        <v>26943</v>
      </c>
      <c r="R183" s="5" t="n">
        <v>1.71</v>
      </c>
      <c r="S183" s="3" t="n">
        <v>71</v>
      </c>
      <c r="T183" s="3" t="n">
        <v>92.8</v>
      </c>
      <c r="U183" s="4">
        <f>J183-P183</f>
        <v>-9857</v>
      </c>
      <c r="V183" s="5">
        <f>ROUND(J183/P183,3)</f>
        <v>0.848</v>
      </c>
      <c r="W183" s="4">
        <f>ROUND(J183/(T183/100),0)</f>
        <v>59349</v>
      </c>
      <c r="X183" s="5">
        <f>ROUND(J183/(I183*4),3)</f>
        <v>0.334</v>
      </c>
      <c r="Y183" s="5">
        <f>ROUND(J183/(H183*4),3)</f>
        <v>0.758</v>
      </c>
      <c r="Z183" t="str">
        <f>IF(J183&gt;P183,"Yes","No")</f>
        <v>No</v>
      </c>
      <c r="AA183" s="6">
        <f>RANK(V183,V$2:V$201,0)</f>
        <v>152</v>
      </c>
      <c r="AB183" s="6">
        <f>RANK(W183,W$2:W$201,0)</f>
        <v>138</v>
      </c>
      <c r="AC183" s="3">
        <f>ROUND(L183/J183*100,1)</f>
        <v>41.8</v>
      </c>
      <c r="AD183" s="5">
        <f>ROUND(M183/G183*10000,2)</f>
        <v>0</v>
      </c>
      <c r="AE183" t="inlineStr">
        <is>
          <t>College Scorecard (US Dept. of Education); Nobel Prize API; NCAA; state columns: US Census, Bureau of Economic Analysis</t>
        </is>
      </c>
    </row>
    <row r="184">
      <c r="A184" t="inlineStr">
        <is>
          <t>Winona State University</t>
        </is>
      </c>
      <c r="B184" t="inlineStr">
        <is>
          <t>MN</t>
        </is>
      </c>
      <c r="C184" t="inlineStr">
        <is>
          <t>Minnesota</t>
        </is>
      </c>
      <c r="D184" t="inlineStr">
        <is>
          <t>Winona</t>
        </is>
      </c>
      <c r="E184" s="3" t="n">
        <v>75.5</v>
      </c>
      <c r="G184" t="n">
        <v>5144</v>
      </c>
      <c r="H184" s="4" t="n">
        <v>10576</v>
      </c>
      <c r="I184" s="4" t="n">
        <v>17308</v>
      </c>
      <c r="J184" s="4" t="n">
        <v>58532</v>
      </c>
      <c r="K184" s="3" t="n">
        <v>59</v>
      </c>
      <c r="L184" s="4" t="n">
        <v>21500</v>
      </c>
      <c r="M184" t="n">
        <v>0</v>
      </c>
      <c r="N184" t="inlineStr">
        <is>
          <t>No</t>
        </is>
      </c>
      <c r="O184" s="4" t="n">
        <v>42435</v>
      </c>
      <c r="P184" s="4" t="n">
        <v>71254</v>
      </c>
      <c r="Q184" s="4" t="n">
        <v>28819</v>
      </c>
      <c r="R184" s="5" t="n">
        <v>1.68</v>
      </c>
      <c r="S184" s="3" t="n">
        <v>68</v>
      </c>
      <c r="T184" s="3" t="n">
        <v>98.59999999999999</v>
      </c>
      <c r="U184" s="4">
        <f>J184-P184</f>
        <v>-12722</v>
      </c>
      <c r="V184" s="5">
        <f>ROUND(J184/P184,3)</f>
        <v>0.821</v>
      </c>
      <c r="W184" s="4">
        <f>ROUND(J184/(T184/100),0)</f>
        <v>59363</v>
      </c>
      <c r="X184" s="5">
        <f>ROUND(J184/(I184*4),3)</f>
        <v>0.845</v>
      </c>
      <c r="Y184" s="5">
        <f>ROUND(J184/(H184*4),3)</f>
        <v>1.384</v>
      </c>
      <c r="Z184" t="str">
        <f>IF(J184&gt;P184,"Yes","No")</f>
        <v>No</v>
      </c>
      <c r="AA184" s="6">
        <f>RANK(V184,V$2:V$201,0)</f>
        <v>160</v>
      </c>
      <c r="AB184" s="6">
        <f>RANK(W184,W$2:W$201,0)</f>
        <v>137</v>
      </c>
      <c r="AC184" s="3">
        <f>ROUND(L184/J184*100,1)</f>
        <v>36.7</v>
      </c>
      <c r="AD184" s="5">
        <f>ROUND(M184/G184*10000,2)</f>
        <v>0</v>
      </c>
      <c r="AE184" t="inlineStr">
        <is>
          <t>College Scorecard (US Dept. of Education); Nobel Prize API; NCAA; state columns: US Census, Bureau of Economic Analysis</t>
        </is>
      </c>
    </row>
    <row r="185">
      <c r="A185" t="inlineStr">
        <is>
          <t>University of Wisconsin-La Crosse</t>
        </is>
      </c>
      <c r="B185" t="inlineStr">
        <is>
          <t>WI</t>
        </is>
      </c>
      <c r="C185" t="inlineStr">
        <is>
          <t>Wisconsin</t>
        </is>
      </c>
      <c r="D185" t="inlineStr">
        <is>
          <t>La Crosse</t>
        </is>
      </c>
      <c r="E185" s="3" t="n">
        <v>75.5</v>
      </c>
      <c r="F185" t="n">
        <v>1220</v>
      </c>
      <c r="G185" t="n">
        <v>9277</v>
      </c>
      <c r="H185" s="4" t="n">
        <v>10070</v>
      </c>
      <c r="I185" s="4" t="n">
        <v>19517</v>
      </c>
      <c r="J185" s="4" t="n">
        <v>60378</v>
      </c>
      <c r="K185" s="3" t="n">
        <v>71.09999999999999</v>
      </c>
      <c r="L185" s="4" t="n">
        <v>22500</v>
      </c>
      <c r="M185" t="n">
        <v>0</v>
      </c>
      <c r="N185" t="inlineStr">
        <is>
          <t>Yes</t>
        </is>
      </c>
      <c r="O185" s="4" t="n">
        <v>41604</v>
      </c>
      <c r="P185" s="4" t="n">
        <v>64320</v>
      </c>
      <c r="Q185" s="4" t="n">
        <v>22716</v>
      </c>
      <c r="R185" s="5" t="n">
        <v>1.55</v>
      </c>
      <c r="S185" s="3" t="n">
        <v>55</v>
      </c>
      <c r="T185" s="3" t="n">
        <v>94.09999999999999</v>
      </c>
      <c r="U185" s="4">
        <f>J185-P185</f>
        <v>-3942</v>
      </c>
      <c r="V185" s="5">
        <f>ROUND(J185/P185,3)</f>
        <v>0.9389999999999999</v>
      </c>
      <c r="W185" s="4">
        <f>ROUND(J185/(T185/100),0)</f>
        <v>64164</v>
      </c>
      <c r="X185" s="5">
        <f>ROUND(J185/(I185*4),3)</f>
        <v>0.773</v>
      </c>
      <c r="Y185" s="5">
        <f>ROUND(J185/(H185*4),3)</f>
        <v>1.499</v>
      </c>
      <c r="Z185" t="str">
        <f>IF(J185&gt;P185,"Yes","No")</f>
        <v>No</v>
      </c>
      <c r="AA185" s="6">
        <f>RANK(V185,V$2:V$201,0)</f>
        <v>126</v>
      </c>
      <c r="AB185" s="6">
        <f>RANK(W185,W$2:W$201,0)</f>
        <v>121</v>
      </c>
      <c r="AC185" s="3">
        <f>ROUND(L185/J185*100,1)</f>
        <v>37.3</v>
      </c>
      <c r="AD185" s="5">
        <f>ROUND(M185/G185*10000,2)</f>
        <v>0</v>
      </c>
      <c r="AE185" t="inlineStr">
        <is>
          <t>College Scorecard (US Dept. of Education); Nobel Prize API; NCAA; state columns: US Census, Bureau of Economic Analysis</t>
        </is>
      </c>
    </row>
    <row r="186">
      <c r="A186" t="inlineStr">
        <is>
          <t>University of Idaho</t>
        </is>
      </c>
      <c r="B186" t="inlineStr">
        <is>
          <t>ID</t>
        </is>
      </c>
      <c r="C186" t="inlineStr">
        <is>
          <t>Idaho</t>
        </is>
      </c>
      <c r="D186" t="inlineStr">
        <is>
          <t>Moscow</t>
        </is>
      </c>
      <c r="E186" s="3" t="n">
        <v>75.5</v>
      </c>
      <c r="F186" t="n">
        <v>1116</v>
      </c>
      <c r="G186" t="n">
        <v>7747</v>
      </c>
      <c r="H186" s="4" t="n">
        <v>9084</v>
      </c>
      <c r="I186" s="4" t="n">
        <v>28320</v>
      </c>
      <c r="J186" s="4" t="n">
        <v>54670</v>
      </c>
      <c r="K186" s="3" t="n">
        <v>59.2</v>
      </c>
      <c r="L186" s="4" t="n">
        <v>21982</v>
      </c>
      <c r="M186" t="n">
        <v>0</v>
      </c>
      <c r="N186" t="inlineStr">
        <is>
          <t>Yes</t>
        </is>
      </c>
      <c r="O186" s="4" t="n">
        <v>38530</v>
      </c>
      <c r="P186" s="4" t="n">
        <v>57342</v>
      </c>
      <c r="Q186" s="4" t="n">
        <v>18812</v>
      </c>
      <c r="R186" s="5" t="n">
        <v>1.49</v>
      </c>
      <c r="S186" s="3" t="n">
        <v>49</v>
      </c>
      <c r="T186" s="3" t="n">
        <v>95.5</v>
      </c>
      <c r="U186" s="4">
        <f>J186-P186</f>
        <v>-2672</v>
      </c>
      <c r="V186" s="5">
        <f>ROUND(J186/P186,3)</f>
        <v>0.953</v>
      </c>
      <c r="W186" s="4">
        <f>ROUND(J186/(T186/100),0)</f>
        <v>57246</v>
      </c>
      <c r="X186" s="5">
        <f>ROUND(J186/(I186*4),3)</f>
        <v>0.483</v>
      </c>
      <c r="Y186" s="5">
        <f>ROUND(J186/(H186*4),3)</f>
        <v>1.505</v>
      </c>
      <c r="Z186" t="str">
        <f>IF(J186&gt;P186,"Yes","No")</f>
        <v>No</v>
      </c>
      <c r="AA186" s="6">
        <f>RANK(V186,V$2:V$201,0)</f>
        <v>119</v>
      </c>
      <c r="AB186" s="6">
        <f>RANK(W186,W$2:W$201,0)</f>
        <v>154</v>
      </c>
      <c r="AC186" s="3">
        <f>ROUND(L186/J186*100,1)</f>
        <v>40.2</v>
      </c>
      <c r="AD186" s="5">
        <f>ROUND(M186/G186*10000,2)</f>
        <v>0</v>
      </c>
      <c r="AE186" t="inlineStr">
        <is>
          <t>College Scorecard (US Dept. of Education); Nobel Prize API; NCAA; state columns: US Census, Bureau of Economic Analysis</t>
        </is>
      </c>
    </row>
    <row r="187">
      <c r="A187" t="inlineStr">
        <is>
          <t>DePaul University</t>
        </is>
      </c>
      <c r="B187" t="inlineStr">
        <is>
          <t>IL</t>
        </is>
      </c>
      <c r="C187" t="inlineStr">
        <is>
          <t>Illinois</t>
        </is>
      </c>
      <c r="D187" t="inlineStr">
        <is>
          <t>Chicago</t>
        </is>
      </c>
      <c r="E187" s="3" t="n">
        <v>75.90000000000001</v>
      </c>
      <c r="F187" t="n">
        <v>1262</v>
      </c>
      <c r="G187" t="n">
        <v>14090</v>
      </c>
      <c r="H187" s="4" t="n">
        <v>45999</v>
      </c>
      <c r="I187" s="4" t="n">
        <v>45999</v>
      </c>
      <c r="J187" s="4" t="n">
        <v>68751</v>
      </c>
      <c r="K187" s="3" t="n">
        <v>68.90000000000001</v>
      </c>
      <c r="L187" s="4" t="n">
        <v>23168</v>
      </c>
      <c r="M187" t="n">
        <v>0</v>
      </c>
      <c r="N187" t="inlineStr">
        <is>
          <t>No</t>
        </is>
      </c>
      <c r="O187" s="4" t="n">
        <v>40285</v>
      </c>
      <c r="P187" s="4" t="n">
        <v>71127</v>
      </c>
      <c r="Q187" s="4" t="n">
        <v>30842</v>
      </c>
      <c r="R187" s="5" t="n">
        <v>1.77</v>
      </c>
      <c r="S187" s="3" t="n">
        <v>77</v>
      </c>
      <c r="T187" s="3" t="n">
        <v>100</v>
      </c>
      <c r="U187" s="4">
        <f>J187-P187</f>
        <v>-2376</v>
      </c>
      <c r="V187" s="5">
        <f>ROUND(J187/P187,3)</f>
        <v>0.967</v>
      </c>
      <c r="W187" s="4">
        <f>ROUND(J187/(T187/100),0)</f>
        <v>68751</v>
      </c>
      <c r="X187" s="5">
        <f>ROUND(J187/(I187*4),3)</f>
        <v>0.374</v>
      </c>
      <c r="Y187" s="5">
        <f>ROUND(J187/(H187*4),3)</f>
        <v>0.374</v>
      </c>
      <c r="Z187" t="str">
        <f>IF(J187&gt;P187,"Yes","No")</f>
        <v>No</v>
      </c>
      <c r="AA187" s="6">
        <f>RANK(V187,V$2:V$201,0)</f>
        <v>114</v>
      </c>
      <c r="AB187" s="6">
        <f>RANK(W187,W$2:W$201,0)</f>
        <v>94</v>
      </c>
      <c r="AC187" s="3">
        <f>ROUND(L187/J187*100,1)</f>
        <v>33.7</v>
      </c>
      <c r="AD187" s="5">
        <f>ROUND(M187/G187*10000,2)</f>
        <v>0</v>
      </c>
      <c r="AE187" t="inlineStr">
        <is>
          <t>College Scorecard (US Dept. of Education); Nobel Prize API; NCAA; state columns: US Census, Bureau of Economic Analysis</t>
        </is>
      </c>
    </row>
    <row r="188">
      <c r="A188" t="inlineStr">
        <is>
          <t>Kean University</t>
        </is>
      </c>
      <c r="B188" t="inlineStr">
        <is>
          <t>NJ</t>
        </is>
      </c>
      <c r="C188" t="inlineStr">
        <is>
          <t>New Jersey</t>
        </is>
      </c>
      <c r="D188" t="inlineStr">
        <is>
          <t>Union</t>
        </is>
      </c>
      <c r="E188" s="3" t="n">
        <v>75.90000000000001</v>
      </c>
      <c r="F188" t="n">
        <v>1040</v>
      </c>
      <c r="G188" t="n">
        <v>11433</v>
      </c>
      <c r="H188" s="4" t="n">
        <v>14299</v>
      </c>
      <c r="I188" s="4" t="n">
        <v>22446</v>
      </c>
      <c r="J188" s="4" t="n">
        <v>57237</v>
      </c>
      <c r="K188" s="3" t="n">
        <v>45</v>
      </c>
      <c r="L188" s="4" t="n">
        <v>23250</v>
      </c>
      <c r="M188" t="n">
        <v>0</v>
      </c>
      <c r="N188" t="inlineStr">
        <is>
          <t>No</t>
        </is>
      </c>
      <c r="O188" s="4" t="n">
        <v>41528</v>
      </c>
      <c r="P188" s="4" t="n">
        <v>80114</v>
      </c>
      <c r="Q188" s="4" t="n">
        <v>38586</v>
      </c>
      <c r="R188" s="5" t="n">
        <v>1.93</v>
      </c>
      <c r="S188" s="3" t="n">
        <v>93</v>
      </c>
      <c r="T188" s="3" t="n">
        <v>108.8</v>
      </c>
      <c r="U188" s="4">
        <f>J188-P188</f>
        <v>-22877</v>
      </c>
      <c r="V188" s="5">
        <f>ROUND(J188/P188,3)</f>
        <v>0.714</v>
      </c>
      <c r="W188" s="4">
        <f>ROUND(J188/(T188/100),0)</f>
        <v>52608</v>
      </c>
      <c r="X188" s="5">
        <f>ROUND(J188/(I188*4),3)</f>
        <v>0.637</v>
      </c>
      <c r="Y188" s="5">
        <f>ROUND(J188/(H188*4),3)</f>
        <v>1.001</v>
      </c>
      <c r="Z188" t="str">
        <f>IF(J188&gt;P188,"Yes","No")</f>
        <v>No</v>
      </c>
      <c r="AA188" s="6">
        <f>RANK(V188,V$2:V$201,0)</f>
        <v>191</v>
      </c>
      <c r="AB188" s="6">
        <f>RANK(W188,W$2:W$201,0)</f>
        <v>174</v>
      </c>
      <c r="AC188" s="3">
        <f>ROUND(L188/J188*100,1)</f>
        <v>40.6</v>
      </c>
      <c r="AD188" s="5">
        <f>ROUND(M188/G188*10000,2)</f>
        <v>0</v>
      </c>
      <c r="AE188" t="inlineStr">
        <is>
          <t>College Scorecard (US Dept. of Education); Nobel Prize API; NCAA; state columns: US Census, Bureau of Economic Analysis</t>
        </is>
      </c>
    </row>
    <row r="189">
      <c r="A189" t="inlineStr">
        <is>
          <t>Pace University</t>
        </is>
      </c>
      <c r="B189" t="inlineStr">
        <is>
          <t>NY</t>
        </is>
      </c>
      <c r="C189" t="inlineStr">
        <is>
          <t>New York</t>
        </is>
      </c>
      <c r="D189" t="inlineStr">
        <is>
          <t>New York</t>
        </is>
      </c>
      <c r="E189" s="3" t="n">
        <v>75.90000000000001</v>
      </c>
      <c r="F189" t="n">
        <v>1266</v>
      </c>
      <c r="G189" t="n">
        <v>7665</v>
      </c>
      <c r="H189" s="4" t="n">
        <v>53290</v>
      </c>
      <c r="I189" s="4" t="n">
        <v>53290</v>
      </c>
      <c r="J189" s="4" t="n">
        <v>70378</v>
      </c>
      <c r="K189" s="3" t="n">
        <v>60.7</v>
      </c>
      <c r="L189" s="4" t="n">
        <v>23250</v>
      </c>
      <c r="M189" t="n">
        <v>0</v>
      </c>
      <c r="N189" t="inlineStr">
        <is>
          <t>No</t>
        </is>
      </c>
      <c r="O189" s="4" t="n">
        <v>39771</v>
      </c>
      <c r="P189" s="4" t="n">
        <v>74504</v>
      </c>
      <c r="Q189" s="4" t="n">
        <v>34733</v>
      </c>
      <c r="R189" s="5" t="n">
        <v>1.87</v>
      </c>
      <c r="S189" s="3" t="n">
        <v>87</v>
      </c>
      <c r="T189" s="3" t="n">
        <v>107.9</v>
      </c>
      <c r="U189" s="4">
        <f>J189-P189</f>
        <v>-4126</v>
      </c>
      <c r="V189" s="5">
        <f>ROUND(J189/P189,3)</f>
        <v>0.945</v>
      </c>
      <c r="W189" s="4">
        <f>ROUND(J189/(T189/100),0)</f>
        <v>65225</v>
      </c>
      <c r="X189" s="5">
        <f>ROUND(J189/(I189*4),3)</f>
        <v>0.33</v>
      </c>
      <c r="Y189" s="5">
        <f>ROUND(J189/(H189*4),3)</f>
        <v>0.33</v>
      </c>
      <c r="Z189" t="str">
        <f>IF(J189&gt;P189,"Yes","No")</f>
        <v>No</v>
      </c>
      <c r="AA189" s="6">
        <f>RANK(V189,V$2:V$201,0)</f>
        <v>122</v>
      </c>
      <c r="AB189" s="6">
        <f>RANK(W189,W$2:W$201,0)</f>
        <v>112</v>
      </c>
      <c r="AC189" s="3">
        <f>ROUND(L189/J189*100,1)</f>
        <v>33</v>
      </c>
      <c r="AD189" s="5">
        <f>ROUND(M189/G189*10000,2)</f>
        <v>0</v>
      </c>
      <c r="AE189" t="inlineStr">
        <is>
          <t>College Scorecard (US Dept. of Education); Nobel Prize API; NCAA; state columns: US Census, Bureau of Economic Analysis</t>
        </is>
      </c>
    </row>
    <row r="190">
      <c r="A190" t="inlineStr">
        <is>
          <t>Tennessee Technological University</t>
        </is>
      </c>
      <c r="B190" t="inlineStr">
        <is>
          <t>TN</t>
        </is>
      </c>
      <c r="C190" t="inlineStr">
        <is>
          <t>Tennessee</t>
        </is>
      </c>
      <c r="D190" t="inlineStr">
        <is>
          <t>Cookeville</t>
        </is>
      </c>
      <c r="E190" s="3" t="n">
        <v>76.09999999999999</v>
      </c>
      <c r="F190" t="n">
        <v>1151</v>
      </c>
      <c r="G190" t="n">
        <v>8698</v>
      </c>
      <c r="H190" s="4" t="n">
        <v>11376</v>
      </c>
      <c r="I190" s="4" t="n">
        <v>15576</v>
      </c>
      <c r="J190" s="4" t="n">
        <v>48501</v>
      </c>
      <c r="K190" s="3" t="n">
        <v>56</v>
      </c>
      <c r="L190" s="4" t="n">
        <v>15650</v>
      </c>
      <c r="M190" t="n">
        <v>0</v>
      </c>
      <c r="N190" t="inlineStr">
        <is>
          <t>No</t>
        </is>
      </c>
      <c r="O190" s="4" t="n">
        <v>37693</v>
      </c>
      <c r="P190" s="4" t="n">
        <v>61189</v>
      </c>
      <c r="Q190" s="4" t="n">
        <v>23496</v>
      </c>
      <c r="R190" s="5" t="n">
        <v>1.62</v>
      </c>
      <c r="S190" s="3" t="n">
        <v>62</v>
      </c>
      <c r="T190" s="3" t="n">
        <v>91.90000000000001</v>
      </c>
      <c r="U190" s="4">
        <f>J190-P190</f>
        <v>-12688</v>
      </c>
      <c r="V190" s="5">
        <f>ROUND(J190/P190,3)</f>
        <v>0.793</v>
      </c>
      <c r="W190" s="4">
        <f>ROUND(J190/(T190/100),0)</f>
        <v>52776</v>
      </c>
      <c r="X190" s="5">
        <f>ROUND(J190/(I190*4),3)</f>
        <v>0.778</v>
      </c>
      <c r="Y190" s="5">
        <f>ROUND(J190/(H190*4),3)</f>
        <v>1.066</v>
      </c>
      <c r="Z190" t="str">
        <f>IF(J190&gt;P190,"Yes","No")</f>
        <v>No</v>
      </c>
      <c r="AA190" s="6">
        <f>RANK(V190,V$2:V$201,0)</f>
        <v>170</v>
      </c>
      <c r="AB190" s="6">
        <f>RANK(W190,W$2:W$201,0)</f>
        <v>171</v>
      </c>
      <c r="AC190" s="3">
        <f>ROUND(L190/J190*100,1)</f>
        <v>32.3</v>
      </c>
      <c r="AD190" s="5">
        <f>ROUND(M190/G190*10000,2)</f>
        <v>0</v>
      </c>
      <c r="AE190" t="inlineStr">
        <is>
          <t>College Scorecard (US Dept. of Education); Nobel Prize API; NCAA; state columns: US Census, Bureau of Economic Analysis</t>
        </is>
      </c>
    </row>
    <row r="191">
      <c r="A191" t="inlineStr">
        <is>
          <t>Indiana University-Indianapolis</t>
        </is>
      </c>
      <c r="B191" t="inlineStr">
        <is>
          <t>IN</t>
        </is>
      </c>
      <c r="C191" t="inlineStr">
        <is>
          <t>Indiana</t>
        </is>
      </c>
      <c r="D191" t="inlineStr">
        <is>
          <t>Indianapolis</t>
        </is>
      </c>
      <c r="E191" s="3" t="n">
        <v>76.40000000000001</v>
      </c>
      <c r="F191" t="n">
        <v>1139</v>
      </c>
      <c r="G191" t="n">
        <v>13830</v>
      </c>
      <c r="H191" s="4" t="n">
        <v>10762</v>
      </c>
      <c r="I191" s="4" t="n">
        <v>34891</v>
      </c>
      <c r="J191" s="4" t="n">
        <v>55198</v>
      </c>
      <c r="K191" s="3" t="n">
        <v>54.1</v>
      </c>
      <c r="L191" s="4" t="n">
        <v>20000</v>
      </c>
      <c r="M191" t="n">
        <v>0</v>
      </c>
      <c r="N191" t="inlineStr">
        <is>
          <t>No</t>
        </is>
      </c>
      <c r="O191" s="4" t="n">
        <v>39496</v>
      </c>
      <c r="P191" s="4" t="n">
        <v>60573</v>
      </c>
      <c r="Q191" s="4" t="n">
        <v>21077</v>
      </c>
      <c r="R191" s="5" t="n">
        <v>1.53</v>
      </c>
      <c r="S191" s="3" t="n">
        <v>53</v>
      </c>
      <c r="T191" s="3" t="n">
        <v>93.3</v>
      </c>
      <c r="U191" s="4">
        <f>J191-P191</f>
        <v>-5375</v>
      </c>
      <c r="V191" s="5">
        <f>ROUND(J191/P191,3)</f>
        <v>0.911</v>
      </c>
      <c r="W191" s="4">
        <f>ROUND(J191/(T191/100),0)</f>
        <v>59162</v>
      </c>
      <c r="X191" s="5">
        <f>ROUND(J191/(I191*4),3)</f>
        <v>0.396</v>
      </c>
      <c r="Y191" s="5">
        <f>ROUND(J191/(H191*4),3)</f>
        <v>1.282</v>
      </c>
      <c r="Z191" t="str">
        <f>IF(J191&gt;P191,"Yes","No")</f>
        <v>No</v>
      </c>
      <c r="AA191" s="6">
        <f>RANK(V191,V$2:V$201,0)</f>
        <v>140</v>
      </c>
      <c r="AB191" s="6">
        <f>RANK(W191,W$2:W$201,0)</f>
        <v>140</v>
      </c>
      <c r="AC191" s="3">
        <f>ROUND(L191/J191*100,1)</f>
        <v>36.2</v>
      </c>
      <c r="AD191" s="5">
        <f>ROUND(M191/G191*10000,2)</f>
        <v>0</v>
      </c>
      <c r="AE191" t="inlineStr">
        <is>
          <t>College Scorecard (US Dept. of Education); Nobel Prize API; NCAA; state columns: US Census, Bureau of Economic Analysis</t>
        </is>
      </c>
    </row>
    <row r="192">
      <c r="A192" t="inlineStr">
        <is>
          <t>University of California-Riverside</t>
        </is>
      </c>
      <c r="B192" t="inlineStr">
        <is>
          <t>CA</t>
        </is>
      </c>
      <c r="C192" t="inlineStr">
        <is>
          <t>California</t>
        </is>
      </c>
      <c r="D192" t="inlineStr">
        <is>
          <t>Riverside</t>
        </is>
      </c>
      <c r="E192" s="3" t="n">
        <v>76.40000000000001</v>
      </c>
      <c r="G192" t="n">
        <v>22593</v>
      </c>
      <c r="H192" s="4" t="n">
        <v>15606</v>
      </c>
      <c r="I192" s="4" t="n">
        <v>49806</v>
      </c>
      <c r="J192" s="4" t="n">
        <v>67699</v>
      </c>
      <c r="K192" s="3" t="n">
        <v>76.3</v>
      </c>
      <c r="L192" s="4" t="n">
        <v>17500</v>
      </c>
      <c r="M192" t="n">
        <v>43</v>
      </c>
      <c r="N192" t="inlineStr">
        <is>
          <t>Yes</t>
        </is>
      </c>
      <c r="O192" s="4" t="n">
        <v>40803</v>
      </c>
      <c r="P192" s="4" t="n">
        <v>78278</v>
      </c>
      <c r="Q192" s="4" t="n">
        <v>37475</v>
      </c>
      <c r="R192" s="5" t="n">
        <v>1.92</v>
      </c>
      <c r="S192" s="3" t="n">
        <v>92</v>
      </c>
      <c r="T192" s="3" t="n">
        <v>110.7</v>
      </c>
      <c r="U192" s="4">
        <f>J192-P192</f>
        <v>-10579</v>
      </c>
      <c r="V192" s="5">
        <f>ROUND(J192/P192,3)</f>
        <v>0.865</v>
      </c>
      <c r="W192" s="4">
        <f>ROUND(J192/(T192/100),0)</f>
        <v>61155</v>
      </c>
      <c r="X192" s="5">
        <f>ROUND(J192/(I192*4),3)</f>
        <v>0.34</v>
      </c>
      <c r="Y192" s="5">
        <f>ROUND(J192/(H192*4),3)</f>
        <v>1.085</v>
      </c>
      <c r="Z192" t="str">
        <f>IF(J192&gt;P192,"Yes","No")</f>
        <v>No</v>
      </c>
      <c r="AA192" s="6">
        <f>RANK(V192,V$2:V$201,0)</f>
        <v>149</v>
      </c>
      <c r="AB192" s="6">
        <f>RANK(W192,W$2:W$201,0)</f>
        <v>132</v>
      </c>
      <c r="AC192" s="3">
        <f>ROUND(L192/J192*100,1)</f>
        <v>25.8</v>
      </c>
      <c r="AD192" s="5">
        <f>ROUND(M192/G192*10000,2)</f>
        <v>19.03</v>
      </c>
      <c r="AE192" t="inlineStr">
        <is>
          <t>College Scorecard (US Dept. of Education); Nobel Prize API; NCAA; state columns: US Census, Bureau of Economic Analysis</t>
        </is>
      </c>
    </row>
    <row r="193">
      <c r="A193" t="inlineStr">
        <is>
          <t>University of Oklahoma-Norman Campus</t>
        </is>
      </c>
      <c r="B193" t="inlineStr">
        <is>
          <t>OK</t>
        </is>
      </c>
      <c r="C193" t="inlineStr">
        <is>
          <t>Oklahoma</t>
        </is>
      </c>
      <c r="D193" t="inlineStr">
        <is>
          <t>Norman</t>
        </is>
      </c>
      <c r="E193" s="3" t="n">
        <v>76.59999999999999</v>
      </c>
      <c r="F193" t="n">
        <v>1246</v>
      </c>
      <c r="G193" t="n">
        <v>22734</v>
      </c>
      <c r="H193" s="4" t="n">
        <v>9797</v>
      </c>
      <c r="I193" s="4" t="n">
        <v>27377</v>
      </c>
      <c r="J193" s="4" t="n">
        <v>63126</v>
      </c>
      <c r="K193" s="3" t="n">
        <v>75.3</v>
      </c>
      <c r="L193" s="4" t="n">
        <v>20654</v>
      </c>
      <c r="M193" t="n">
        <v>0</v>
      </c>
      <c r="N193" t="inlineStr">
        <is>
          <t>No</t>
        </is>
      </c>
      <c r="O193" s="4" t="n">
        <v>35929</v>
      </c>
      <c r="P193" s="4" t="n">
        <v>55663</v>
      </c>
      <c r="Q193" s="4" t="n">
        <v>19734</v>
      </c>
      <c r="R193" s="5" t="n">
        <v>1.55</v>
      </c>
      <c r="S193" s="3" t="n">
        <v>55</v>
      </c>
      <c r="T193" s="3" t="n">
        <v>87.8</v>
      </c>
      <c r="U193" s="4">
        <f>J193-P193</f>
        <v>7463</v>
      </c>
      <c r="V193" s="5">
        <f>ROUND(J193/P193,3)</f>
        <v>1.134</v>
      </c>
      <c r="W193" s="4">
        <f>ROUND(J193/(T193/100),0)</f>
        <v>71897</v>
      </c>
      <c r="X193" s="5">
        <f>ROUND(J193/(I193*4),3)</f>
        <v>0.576</v>
      </c>
      <c r="Y193" s="5">
        <f>ROUND(J193/(H193*4),3)</f>
        <v>1.611</v>
      </c>
      <c r="Z193" t="str">
        <f>IF(J193&gt;P193,"Yes","No")</f>
        <v>Yes</v>
      </c>
      <c r="AA193" s="6">
        <f>RANK(V193,V$2:V$201,0)</f>
        <v>55</v>
      </c>
      <c r="AB193" s="6">
        <f>RANK(W193,W$2:W$201,0)</f>
        <v>77</v>
      </c>
      <c r="AC193" s="3">
        <f>ROUND(L193/J193*100,1)</f>
        <v>32.7</v>
      </c>
      <c r="AD193" s="5">
        <f>ROUND(M193/G193*10000,2)</f>
        <v>0</v>
      </c>
      <c r="AE193" t="inlineStr">
        <is>
          <t>College Scorecard (US Dept. of Education); Nobel Prize API; NCAA; state columns: US Census, Bureau of Economic Analysis</t>
        </is>
      </c>
    </row>
    <row r="194">
      <c r="A194" t="inlineStr">
        <is>
          <t>The University of Alabama</t>
        </is>
      </c>
      <c r="B194" t="inlineStr">
        <is>
          <t>AL</t>
        </is>
      </c>
      <c r="C194" t="inlineStr">
        <is>
          <t>Alabama</t>
        </is>
      </c>
      <c r="D194" t="inlineStr">
        <is>
          <t>Tuscaloosa</t>
        </is>
      </c>
      <c r="E194" s="3" t="n">
        <v>76.59999999999999</v>
      </c>
      <c r="F194" t="n">
        <v>1285</v>
      </c>
      <c r="G194" t="n">
        <v>33227</v>
      </c>
      <c r="H194" s="4" t="n">
        <v>12180</v>
      </c>
      <c r="I194" s="4" t="n">
        <v>34172</v>
      </c>
      <c r="J194" s="4" t="n">
        <v>59221</v>
      </c>
      <c r="K194" s="3" t="n">
        <v>73.5</v>
      </c>
      <c r="L194" s="4" t="n">
        <v>22750</v>
      </c>
      <c r="M194" t="n">
        <v>0</v>
      </c>
      <c r="N194" t="inlineStr">
        <is>
          <t>Yes</t>
        </is>
      </c>
      <c r="O194" s="4" t="n">
        <v>36615</v>
      </c>
      <c r="P194" s="4" t="n">
        <v>60156</v>
      </c>
      <c r="Q194" s="4" t="n">
        <v>23541</v>
      </c>
      <c r="R194" s="5" t="n">
        <v>1.64</v>
      </c>
      <c r="S194" s="3" t="n">
        <v>64</v>
      </c>
      <c r="T194" s="3" t="n">
        <v>88.8</v>
      </c>
      <c r="U194" s="4">
        <f>J194-P194</f>
        <v>-935</v>
      </c>
      <c r="V194" s="5">
        <f>ROUND(J194/P194,3)</f>
        <v>0.984</v>
      </c>
      <c r="W194" s="4">
        <f>ROUND(J194/(T194/100),0)</f>
        <v>66690</v>
      </c>
      <c r="X194" s="5">
        <f>ROUND(J194/(I194*4),3)</f>
        <v>0.433</v>
      </c>
      <c r="Y194" s="5">
        <f>ROUND(J194/(H194*4),3)</f>
        <v>1.216</v>
      </c>
      <c r="Z194" t="str">
        <f>IF(J194&gt;P194,"Yes","No")</f>
        <v>No</v>
      </c>
      <c r="AA194" s="6">
        <f>RANK(V194,V$2:V$201,0)</f>
        <v>109</v>
      </c>
      <c r="AB194" s="6">
        <f>RANK(W194,W$2:W$201,0)</f>
        <v>105</v>
      </c>
      <c r="AC194" s="3">
        <f>ROUND(L194/J194*100,1)</f>
        <v>38.4</v>
      </c>
      <c r="AD194" s="5">
        <f>ROUND(M194/G194*10000,2)</f>
        <v>0</v>
      </c>
      <c r="AE194" t="inlineStr">
        <is>
          <t>College Scorecard (US Dept. of Education); Nobel Prize API; NCAA; state columns: US Census, Bureau of Economic Analysis</t>
        </is>
      </c>
    </row>
    <row r="195">
      <c r="A195" t="inlineStr">
        <is>
          <t>University of North Dakota</t>
        </is>
      </c>
      <c r="B195" t="inlineStr">
        <is>
          <t>ND</t>
        </is>
      </c>
      <c r="C195" t="inlineStr">
        <is>
          <t>North Dakota</t>
        </is>
      </c>
      <c r="D195" t="inlineStr">
        <is>
          <t>Grand Forks</t>
        </is>
      </c>
      <c r="E195" s="3" t="n">
        <v>76.90000000000001</v>
      </c>
      <c r="G195" t="n">
        <v>9981</v>
      </c>
      <c r="H195" s="4" t="n">
        <v>10951</v>
      </c>
      <c r="I195" s="4" t="n">
        <v>15570</v>
      </c>
      <c r="J195" s="4" t="n">
        <v>63552</v>
      </c>
      <c r="K195" s="3" t="n">
        <v>62</v>
      </c>
      <c r="L195" s="4" t="n">
        <v>22057</v>
      </c>
      <c r="M195" t="n">
        <v>0</v>
      </c>
      <c r="N195" t="inlineStr">
        <is>
          <t>No</t>
        </is>
      </c>
      <c r="O195" s="4" t="n">
        <v>41665</v>
      </c>
      <c r="P195" s="4" t="n">
        <v>61164</v>
      </c>
      <c r="Q195" s="4" t="n">
        <v>19499</v>
      </c>
      <c r="R195" s="5" t="n">
        <v>1.47</v>
      </c>
      <c r="S195" s="3" t="n">
        <v>47</v>
      </c>
      <c r="T195" s="3" t="n">
        <v>89</v>
      </c>
      <c r="U195" s="4">
        <f>J195-P195</f>
        <v>2388</v>
      </c>
      <c r="V195" s="5">
        <f>ROUND(J195/P195,3)</f>
        <v>1.039</v>
      </c>
      <c r="W195" s="4">
        <f>ROUND(J195/(T195/100),0)</f>
        <v>71407</v>
      </c>
      <c r="X195" s="5">
        <f>ROUND(J195/(I195*4),3)</f>
        <v>1.02</v>
      </c>
      <c r="Y195" s="5">
        <f>ROUND(J195/(H195*4),3)</f>
        <v>1.451</v>
      </c>
      <c r="Z195" t="str">
        <f>IF(J195&gt;P195,"Yes","No")</f>
        <v>Yes</v>
      </c>
      <c r="AA195" s="6">
        <f>RANK(V195,V$2:V$201,0)</f>
        <v>80</v>
      </c>
      <c r="AB195" s="6">
        <f>RANK(W195,W$2:W$201,0)</f>
        <v>80</v>
      </c>
      <c r="AC195" s="3">
        <f>ROUND(L195/J195*100,1)</f>
        <v>34.7</v>
      </c>
      <c r="AD195" s="5">
        <f>ROUND(M195/G195*10000,2)</f>
        <v>0</v>
      </c>
      <c r="AE195" t="inlineStr">
        <is>
          <t>College Scorecard (US Dept. of Education); Nobel Prize API; NCAA; state columns: US Census, Bureau of Economic Analysis</t>
        </is>
      </c>
    </row>
    <row r="196">
      <c r="A196" t="inlineStr">
        <is>
          <t>Oregon State University</t>
        </is>
      </c>
      <c r="B196" t="inlineStr">
        <is>
          <t>OR</t>
        </is>
      </c>
      <c r="C196" t="inlineStr">
        <is>
          <t>Oregon</t>
        </is>
      </c>
      <c r="D196" t="inlineStr">
        <is>
          <t>Corvallis</t>
        </is>
      </c>
      <c r="E196" s="3" t="n">
        <v>77.3</v>
      </c>
      <c r="F196" t="n">
        <v>1290</v>
      </c>
      <c r="G196" t="n">
        <v>30743</v>
      </c>
      <c r="H196" s="4" t="n">
        <v>14400</v>
      </c>
      <c r="I196" s="4" t="n">
        <v>38190</v>
      </c>
      <c r="J196" s="4" t="n">
        <v>64010</v>
      </c>
      <c r="K196" s="3" t="n">
        <v>70.40000000000001</v>
      </c>
      <c r="L196" s="4" t="n">
        <v>21221</v>
      </c>
      <c r="M196" t="n">
        <v>0</v>
      </c>
      <c r="N196" t="inlineStr">
        <is>
          <t>No</t>
        </is>
      </c>
      <c r="O196" s="4" t="n">
        <v>39308</v>
      </c>
      <c r="P196" s="4" t="n">
        <v>67100</v>
      </c>
      <c r="Q196" s="4" t="n">
        <v>27792</v>
      </c>
      <c r="R196" s="5" t="n">
        <v>1.71</v>
      </c>
      <c r="S196" s="3" t="n">
        <v>71</v>
      </c>
      <c r="T196" s="3" t="n">
        <v>103.4</v>
      </c>
      <c r="U196" s="4">
        <f>J196-P196</f>
        <v>-3090</v>
      </c>
      <c r="V196" s="5">
        <f>ROUND(J196/P196,3)</f>
        <v>0.954</v>
      </c>
      <c r="W196" s="4">
        <f>ROUND(J196/(T196/100),0)</f>
        <v>61905</v>
      </c>
      <c r="X196" s="5">
        <f>ROUND(J196/(I196*4),3)</f>
        <v>0.419</v>
      </c>
      <c r="Y196" s="5">
        <f>ROUND(J196/(H196*4),3)</f>
        <v>1.111</v>
      </c>
      <c r="Z196" t="str">
        <f>IF(J196&gt;P196,"Yes","No")</f>
        <v>No</v>
      </c>
      <c r="AA196" s="6">
        <f>RANK(V196,V$2:V$201,0)</f>
        <v>118</v>
      </c>
      <c r="AB196" s="6">
        <f>RANK(W196,W$2:W$201,0)</f>
        <v>129</v>
      </c>
      <c r="AC196" s="3">
        <f>ROUND(L196/J196*100,1)</f>
        <v>33.2</v>
      </c>
      <c r="AD196" s="5">
        <f>ROUND(M196/G196*10000,2)</f>
        <v>0</v>
      </c>
      <c r="AE196" t="inlineStr">
        <is>
          <t>College Scorecard (US Dept. of Education); Nobel Prize API; NCAA; state columns: US Census, Bureau of Economic Analysis</t>
        </is>
      </c>
    </row>
    <row r="197">
      <c r="A197" t="inlineStr">
        <is>
          <t>University of Illinois Chicago</t>
        </is>
      </c>
      <c r="B197" t="inlineStr">
        <is>
          <t>IL</t>
        </is>
      </c>
      <c r="C197" t="inlineStr">
        <is>
          <t>Illinois</t>
        </is>
      </c>
      <c r="D197" t="inlineStr">
        <is>
          <t>Chicago</t>
        </is>
      </c>
      <c r="E197" s="3" t="n">
        <v>77.3</v>
      </c>
      <c r="F197" t="n">
        <v>1250</v>
      </c>
      <c r="G197" t="n">
        <v>22170</v>
      </c>
      <c r="H197" s="4" t="n">
        <v>14338</v>
      </c>
      <c r="I197" s="4" t="n">
        <v>29884</v>
      </c>
      <c r="J197" s="4" t="n">
        <v>68740</v>
      </c>
      <c r="K197" s="3" t="n">
        <v>61</v>
      </c>
      <c r="L197" s="4" t="n">
        <v>16704</v>
      </c>
      <c r="M197" t="n">
        <v>0</v>
      </c>
      <c r="N197" t="inlineStr">
        <is>
          <t>No</t>
        </is>
      </c>
      <c r="O197" s="4" t="n">
        <v>40285</v>
      </c>
      <c r="P197" s="4" t="n">
        <v>71127</v>
      </c>
      <c r="Q197" s="4" t="n">
        <v>30842</v>
      </c>
      <c r="R197" s="5" t="n">
        <v>1.77</v>
      </c>
      <c r="S197" s="3" t="n">
        <v>77</v>
      </c>
      <c r="T197" s="3" t="n">
        <v>100</v>
      </c>
      <c r="U197" s="4">
        <f>J197-P197</f>
        <v>-2387</v>
      </c>
      <c r="V197" s="5">
        <f>ROUND(J197/P197,3)</f>
        <v>0.966</v>
      </c>
      <c r="W197" s="4">
        <f>ROUND(J197/(T197/100),0)</f>
        <v>68740</v>
      </c>
      <c r="X197" s="5">
        <f>ROUND(J197/(I197*4),3)</f>
        <v>0.575</v>
      </c>
      <c r="Y197" s="5">
        <f>ROUND(J197/(H197*4),3)</f>
        <v>1.199</v>
      </c>
      <c r="Z197" t="str">
        <f>IF(J197&gt;P197,"Yes","No")</f>
        <v>No</v>
      </c>
      <c r="AA197" s="6">
        <f>RANK(V197,V$2:V$201,0)</f>
        <v>115</v>
      </c>
      <c r="AB197" s="6">
        <f>RANK(W197,W$2:W$201,0)</f>
        <v>95</v>
      </c>
      <c r="AC197" s="3">
        <f>ROUND(L197/J197*100,1)</f>
        <v>24.3</v>
      </c>
      <c r="AD197" s="5">
        <f>ROUND(M197/G197*10000,2)</f>
        <v>0</v>
      </c>
      <c r="AE197" t="inlineStr">
        <is>
          <t>College Scorecard (US Dept. of Education); Nobel Prize API; NCAA; state columns: US Census, Bureau of Economic Analysis</t>
        </is>
      </c>
    </row>
    <row r="198">
      <c r="A198" t="inlineStr">
        <is>
          <t>Eastern Kentucky University</t>
        </is>
      </c>
      <c r="B198" t="inlineStr">
        <is>
          <t>KY</t>
        </is>
      </c>
      <c r="C198" t="inlineStr">
        <is>
          <t>Kentucky</t>
        </is>
      </c>
      <c r="D198" t="inlineStr">
        <is>
          <t>Richmond</t>
        </is>
      </c>
      <c r="E198" s="3" t="n">
        <v>77.59999999999999</v>
      </c>
      <c r="F198" t="n">
        <v>1149</v>
      </c>
      <c r="G198" t="n">
        <v>12318</v>
      </c>
      <c r="H198" s="4" t="n">
        <v>10320</v>
      </c>
      <c r="I198" s="4" t="n">
        <v>21230</v>
      </c>
      <c r="J198" s="4" t="n">
        <v>45795</v>
      </c>
      <c r="K198" s="3" t="n">
        <v>49.9</v>
      </c>
      <c r="L198" s="4" t="n">
        <v>22500</v>
      </c>
      <c r="M198" t="n">
        <v>0</v>
      </c>
      <c r="N198" t="inlineStr">
        <is>
          <t>No</t>
        </is>
      </c>
      <c r="O198" s="4" t="n">
        <v>36636</v>
      </c>
      <c r="P198" s="4" t="n">
        <v>60185</v>
      </c>
      <c r="Q198" s="4" t="n">
        <v>23549</v>
      </c>
      <c r="R198" s="5" t="n">
        <v>1.64</v>
      </c>
      <c r="S198" s="3" t="n">
        <v>64</v>
      </c>
      <c r="T198" s="3" t="n">
        <v>90.2</v>
      </c>
      <c r="U198" s="4">
        <f>J198-P198</f>
        <v>-14390</v>
      </c>
      <c r="V198" s="5">
        <f>ROUND(J198/P198,3)</f>
        <v>0.761</v>
      </c>
      <c r="W198" s="4">
        <f>ROUND(J198/(T198/100),0)</f>
        <v>50771</v>
      </c>
      <c r="X198" s="5">
        <f>ROUND(J198/(I198*4),3)</f>
        <v>0.539</v>
      </c>
      <c r="Y198" s="5">
        <f>ROUND(J198/(H198*4),3)</f>
        <v>1.109</v>
      </c>
      <c r="Z198" t="str">
        <f>IF(J198&gt;P198,"Yes","No")</f>
        <v>No</v>
      </c>
      <c r="AA198" s="6">
        <f>RANK(V198,V$2:V$201,0)</f>
        <v>181</v>
      </c>
      <c r="AB198" s="6">
        <f>RANK(W198,W$2:W$201,0)</f>
        <v>182</v>
      </c>
      <c r="AC198" s="3">
        <f>ROUND(L198/J198*100,1)</f>
        <v>49.1</v>
      </c>
      <c r="AD198" s="5">
        <f>ROUND(M198/G198*10000,2)</f>
        <v>0</v>
      </c>
      <c r="AE198" t="inlineStr">
        <is>
          <t>College Scorecard (US Dept. of Education); Nobel Prize API; NCAA; state columns: US Census, Bureau of Economic Analysis</t>
        </is>
      </c>
    </row>
    <row r="199">
      <c r="A199" t="inlineStr">
        <is>
          <t>Mississippi State University</t>
        </is>
      </c>
      <c r="B199" t="inlineStr">
        <is>
          <t>MS</t>
        </is>
      </c>
      <c r="C199" t="inlineStr">
        <is>
          <t>Mississippi</t>
        </is>
      </c>
      <c r="D199" t="inlineStr">
        <is>
          <t>Mississippi State</t>
        </is>
      </c>
      <c r="E199" s="3" t="n">
        <v>77.59999999999999</v>
      </c>
      <c r="F199" t="n">
        <v>1219</v>
      </c>
      <c r="G199" t="n">
        <v>18397</v>
      </c>
      <c r="H199" s="4" t="n">
        <v>10202</v>
      </c>
      <c r="I199" s="4" t="n">
        <v>27637</v>
      </c>
      <c r="J199" s="4" t="n">
        <v>51513</v>
      </c>
      <c r="K199" s="3" t="n">
        <v>64.8</v>
      </c>
      <c r="L199" s="4" t="n">
        <v>22142</v>
      </c>
      <c r="M199" t="n">
        <v>0</v>
      </c>
      <c r="N199" t="inlineStr">
        <is>
          <t>No</t>
        </is>
      </c>
      <c r="O199" s="4" t="n">
        <v>32125</v>
      </c>
      <c r="P199" s="4" t="n">
        <v>52266</v>
      </c>
      <c r="Q199" s="4" t="n">
        <v>20141</v>
      </c>
      <c r="R199" s="5" t="n">
        <v>1.63</v>
      </c>
      <c r="S199" s="3" t="n">
        <v>63</v>
      </c>
      <c r="T199" s="3" t="n">
        <v>87</v>
      </c>
      <c r="U199" s="4">
        <f>J199-P199</f>
        <v>-753</v>
      </c>
      <c r="V199" s="5">
        <f>ROUND(J199/P199,3)</f>
        <v>0.986</v>
      </c>
      <c r="W199" s="4">
        <f>ROUND(J199/(T199/100),0)</f>
        <v>59210</v>
      </c>
      <c r="X199" s="5">
        <f>ROUND(J199/(I199*4),3)</f>
        <v>0.466</v>
      </c>
      <c r="Y199" s="5">
        <f>ROUND(J199/(H199*4),3)</f>
        <v>1.262</v>
      </c>
      <c r="Z199" t="str">
        <f>IF(J199&gt;P199,"Yes","No")</f>
        <v>No</v>
      </c>
      <c r="AA199" s="6">
        <f>RANK(V199,V$2:V$201,0)</f>
        <v>106</v>
      </c>
      <c r="AB199" s="6">
        <f>RANK(W199,W$2:W$201,0)</f>
        <v>139</v>
      </c>
      <c r="AC199" s="3">
        <f>ROUND(L199/J199*100,1)</f>
        <v>43</v>
      </c>
      <c r="AD199" s="5">
        <f>ROUND(M199/G199*10000,2)</f>
        <v>0</v>
      </c>
      <c r="AE199" t="inlineStr">
        <is>
          <t>College Scorecard (US Dept. of Education); Nobel Prize API; NCAA; state columns: US Census, Bureau of Economic Analysis</t>
        </is>
      </c>
    </row>
    <row r="200">
      <c r="A200" t="inlineStr">
        <is>
          <t>Rowan University</t>
        </is>
      </c>
      <c r="B200" t="inlineStr">
        <is>
          <t>NJ</t>
        </is>
      </c>
      <c r="C200" t="inlineStr">
        <is>
          <t>New Jersey</t>
        </is>
      </c>
      <c r="D200" t="inlineStr">
        <is>
          <t>Glassboro</t>
        </is>
      </c>
      <c r="E200" s="3" t="n">
        <v>77.7</v>
      </c>
      <c r="F200" t="n">
        <v>1212</v>
      </c>
      <c r="G200" t="n">
        <v>15841</v>
      </c>
      <c r="H200" s="4" t="n">
        <v>16574</v>
      </c>
      <c r="I200" s="4" t="n">
        <v>26932</v>
      </c>
      <c r="J200" s="4" t="n">
        <v>59988</v>
      </c>
      <c r="K200" s="3" t="n">
        <v>67.8</v>
      </c>
      <c r="L200" s="4" t="n">
        <v>20500</v>
      </c>
      <c r="M200" t="n">
        <v>0</v>
      </c>
      <c r="N200" t="inlineStr">
        <is>
          <t>No</t>
        </is>
      </c>
      <c r="O200" s="4" t="n">
        <v>41528</v>
      </c>
      <c r="P200" s="4" t="n">
        <v>80114</v>
      </c>
      <c r="Q200" s="4" t="n">
        <v>38586</v>
      </c>
      <c r="R200" s="5" t="n">
        <v>1.93</v>
      </c>
      <c r="S200" s="3" t="n">
        <v>93</v>
      </c>
      <c r="T200" s="3" t="n">
        <v>108.8</v>
      </c>
      <c r="U200" s="4">
        <f>J200-P200</f>
        <v>-20126</v>
      </c>
      <c r="V200" s="5">
        <f>ROUND(J200/P200,3)</f>
        <v>0.749</v>
      </c>
      <c r="W200" s="4">
        <f>ROUND(J200/(T200/100),0)</f>
        <v>55136</v>
      </c>
      <c r="X200" s="5">
        <f>ROUND(J200/(I200*4),3)</f>
        <v>0.5570000000000001</v>
      </c>
      <c r="Y200" s="5">
        <f>ROUND(J200/(H200*4),3)</f>
        <v>0.905</v>
      </c>
      <c r="Z200" t="str">
        <f>IF(J200&gt;P200,"Yes","No")</f>
        <v>No</v>
      </c>
      <c r="AA200" s="6">
        <f>RANK(V200,V$2:V$201,0)</f>
        <v>185</v>
      </c>
      <c r="AB200" s="6">
        <f>RANK(W200,W$2:W$201,0)</f>
        <v>162</v>
      </c>
      <c r="AC200" s="3">
        <f>ROUND(L200/J200*100,1)</f>
        <v>34.2</v>
      </c>
      <c r="AD200" s="5">
        <f>ROUND(M200/G200*10000,2)</f>
        <v>0</v>
      </c>
      <c r="AE200" t="inlineStr">
        <is>
          <t>College Scorecard (US Dept. of Education); Nobel Prize API; NCAA; state columns: US Census, Bureau of Economic Analysis</t>
        </is>
      </c>
    </row>
    <row r="201">
      <c r="A201" t="inlineStr">
        <is>
          <t>Jacksonville State University</t>
        </is>
      </c>
      <c r="B201" t="inlineStr">
        <is>
          <t>AL</t>
        </is>
      </c>
      <c r="C201" t="inlineStr">
        <is>
          <t>Alabama</t>
        </is>
      </c>
      <c r="D201" t="inlineStr">
        <is>
          <t>Jacksonville</t>
        </is>
      </c>
      <c r="E201" s="3" t="n">
        <v>77.7</v>
      </c>
      <c r="F201" t="n">
        <v>1059</v>
      </c>
      <c r="G201" t="n">
        <v>7036</v>
      </c>
      <c r="H201" s="4" t="n">
        <v>12894</v>
      </c>
      <c r="I201" s="4" t="n">
        <v>23334</v>
      </c>
      <c r="J201" s="4" t="n">
        <v>45235</v>
      </c>
      <c r="K201" s="3" t="n">
        <v>52.9</v>
      </c>
      <c r="L201" s="4" t="n">
        <v>22189</v>
      </c>
      <c r="M201" t="n">
        <v>0</v>
      </c>
      <c r="N201" t="inlineStr">
        <is>
          <t>No</t>
        </is>
      </c>
      <c r="O201" s="4" t="n">
        <v>36615</v>
      </c>
      <c r="P201" s="4" t="n">
        <v>60156</v>
      </c>
      <c r="Q201" s="4" t="n">
        <v>23541</v>
      </c>
      <c r="R201" s="5" t="n">
        <v>1.64</v>
      </c>
      <c r="S201" s="3" t="n">
        <v>64</v>
      </c>
      <c r="T201" s="3" t="n">
        <v>88.8</v>
      </c>
      <c r="U201" s="4">
        <f>J201-P201</f>
        <v>-14921</v>
      </c>
      <c r="V201" s="5">
        <f>ROUND(J201/P201,3)</f>
        <v>0.752</v>
      </c>
      <c r="W201" s="4">
        <f>ROUND(J201/(T201/100),0)</f>
        <v>50940</v>
      </c>
      <c r="X201" s="5">
        <f>ROUND(J201/(I201*4),3)</f>
        <v>0.485</v>
      </c>
      <c r="Y201" s="5">
        <f>ROUND(J201/(H201*4),3)</f>
        <v>0.877</v>
      </c>
      <c r="Z201" t="str">
        <f>IF(J201&gt;P201,"Yes","No")</f>
        <v>No</v>
      </c>
      <c r="AA201" s="6">
        <f>RANK(V201,V$2:V$201,0)</f>
        <v>184</v>
      </c>
      <c r="AB201" s="6">
        <f>RANK(W201,W$2:W$201,0)</f>
        <v>181</v>
      </c>
      <c r="AC201" s="3">
        <f>ROUND(L201/J201*100,1)</f>
        <v>49.1</v>
      </c>
      <c r="AD201" s="5">
        <f>ROUND(M201/G201*10000,2)</f>
        <v>0</v>
      </c>
      <c r="AE201" t="inlineStr">
        <is>
          <t>College Scorecard (US Dept. of Education); Nobel Prize API; NCAA; state columns: US Census, Bureau of Economic Analysis</t>
        </is>
      </c>
    </row>
  </sheetData>
  <autoFilter ref="A1:AE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8" customWidth="1" min="1" max="1"/>
    <col width="28" customWidth="1" min="2" max="2"/>
    <col width="28" customWidth="1" min="3" max="3"/>
    <col width="28" customWidth="1" min="4" max="4"/>
  </cols>
  <sheetData>
    <row r="1">
      <c r="A1" s="7" t="inlineStr">
        <is>
          <t>My Schools — all data for the schools I care about (values copied from Merged Data; add a school by adding a column)</t>
        </is>
      </c>
    </row>
    <row r="3" ht="34" customHeight="1">
      <c r="A3" s="21" t="inlineStr">
        <is>
          <t>Metric</t>
        </is>
      </c>
      <c r="B3" s="22" t="inlineStr">
        <is>
          <t>Rutgers University-Newark</t>
        </is>
      </c>
      <c r="C3" s="22" t="inlineStr">
        <is>
          <t>CUNY Hunter College</t>
        </is>
      </c>
      <c r="D3" s="22" t="inlineStr">
        <is>
          <t>New York University</t>
        </is>
      </c>
    </row>
    <row r="4">
      <c r="A4" s="23" t="inlineStr">
        <is>
          <t>Identity</t>
        </is>
      </c>
      <c r="B4" s="23" t="n"/>
      <c r="C4" s="23" t="n"/>
      <c r="D4" s="23" t="n"/>
    </row>
    <row r="5">
      <c r="A5" s="24" t="inlineStr">
        <is>
          <t>State</t>
        </is>
      </c>
      <c r="B5" s="25" t="inlineStr">
        <is>
          <t>NJ</t>
        </is>
      </c>
      <c r="C5" s="25" t="inlineStr">
        <is>
          <t>NY</t>
        </is>
      </c>
      <c r="D5" s="25" t="inlineStr">
        <is>
          <t>NY</t>
        </is>
      </c>
    </row>
    <row r="6">
      <c r="A6" s="24" t="inlineStr">
        <is>
          <t>State Name</t>
        </is>
      </c>
      <c r="B6" s="25" t="inlineStr">
        <is>
          <t>New Jersey</t>
        </is>
      </c>
      <c r="C6" s="25" t="inlineStr">
        <is>
          <t>New York</t>
        </is>
      </c>
      <c r="D6" s="25" t="inlineStr">
        <is>
          <t>New York</t>
        </is>
      </c>
    </row>
    <row r="7">
      <c r="A7" s="24" t="inlineStr">
        <is>
          <t>City</t>
        </is>
      </c>
      <c r="B7" s="25" t="inlineStr">
        <is>
          <t>Newark</t>
        </is>
      </c>
      <c r="C7" s="25" t="inlineStr">
        <is>
          <t>New York</t>
        </is>
      </c>
      <c r="D7" s="25" t="inlineStr">
        <is>
          <t>New York</t>
        </is>
      </c>
    </row>
    <row r="8">
      <c r="A8" s="23" t="inlineStr">
        <is>
          <t>Admissions &amp; size</t>
        </is>
      </c>
      <c r="B8" s="23" t="n"/>
      <c r="C8" s="23" t="n"/>
      <c r="D8" s="23" t="n"/>
    </row>
    <row r="9">
      <c r="A9" s="24" t="inlineStr">
        <is>
          <t>Admission Rate (%)</t>
        </is>
      </c>
      <c r="B9" s="26" t="n">
        <v>71.40000000000001</v>
      </c>
      <c r="C9" s="26" t="n">
        <v>53.8</v>
      </c>
      <c r="D9" s="26" t="n">
        <v>9.199999999999999</v>
      </c>
    </row>
    <row r="10">
      <c r="A10" s="24" t="inlineStr">
        <is>
          <t>Average SAT</t>
        </is>
      </c>
      <c r="B10" s="25" t="inlineStr">
        <is>
          <t>n/a</t>
        </is>
      </c>
      <c r="C10" s="27" t="n">
        <v>1280</v>
      </c>
      <c r="D10" s="27" t="n">
        <v>1520</v>
      </c>
    </row>
    <row r="11">
      <c r="A11" s="24" t="inlineStr">
        <is>
          <t>Student Size</t>
        </is>
      </c>
      <c r="B11" s="27" t="n">
        <v>7709</v>
      </c>
      <c r="C11" s="27" t="n">
        <v>16289</v>
      </c>
      <c r="D11" s="27" t="n">
        <v>28663</v>
      </c>
    </row>
    <row r="12">
      <c r="A12" s="23" t="inlineStr">
        <is>
          <t>Cost</t>
        </is>
      </c>
      <c r="B12" s="23" t="n"/>
      <c r="C12" s="23" t="n"/>
      <c r="D12" s="23" t="n"/>
    </row>
    <row r="13">
      <c r="A13" s="24" t="inlineStr">
        <is>
          <t>In-State Tuition ($)</t>
        </is>
      </c>
      <c r="B13" s="27" t="n">
        <v>17250</v>
      </c>
      <c r="C13" s="27" t="n">
        <v>7382</v>
      </c>
      <c r="D13" s="27" t="n">
        <v>62796</v>
      </c>
    </row>
    <row r="14">
      <c r="A14" s="24" t="inlineStr">
        <is>
          <t>Out-of-State Tuition ($)</t>
        </is>
      </c>
      <c r="B14" s="27" t="n">
        <v>36762</v>
      </c>
      <c r="C14" s="27" t="n">
        <v>15332</v>
      </c>
      <c r="D14" s="27" t="n">
        <v>62796</v>
      </c>
    </row>
    <row r="15">
      <c r="A15" s="24" t="inlineStr">
        <is>
          <t>Median Debt ($)</t>
        </is>
      </c>
      <c r="B15" s="27" t="n">
        <v>21500</v>
      </c>
      <c r="C15" s="27" t="n">
        <v>11000</v>
      </c>
      <c r="D15" s="27" t="n">
        <v>20500</v>
      </c>
    </row>
    <row r="16">
      <c r="A16" s="23" t="inlineStr">
        <is>
          <t>Outcomes</t>
        </is>
      </c>
      <c r="B16" s="23" t="n"/>
      <c r="C16" s="23" t="n"/>
      <c r="D16" s="23" t="n"/>
    </row>
    <row r="17">
      <c r="A17" s="24" t="inlineStr">
        <is>
          <t>Median Earnings 10yr ($)</t>
        </is>
      </c>
      <c r="B17" s="27" t="n">
        <v>74479</v>
      </c>
      <c r="C17" s="27" t="n">
        <v>63163</v>
      </c>
      <c r="D17" s="27" t="n">
        <v>82509</v>
      </c>
    </row>
    <row r="18">
      <c r="A18" s="24" t="inlineStr">
        <is>
          <t>Completion Rate (%)</t>
        </is>
      </c>
      <c r="B18" s="26" t="n">
        <v>65.7</v>
      </c>
      <c r="C18" s="26" t="n">
        <v>58.8</v>
      </c>
      <c r="D18" s="26" t="n">
        <v>88</v>
      </c>
    </row>
    <row r="19">
      <c r="A19" s="24" t="inlineStr">
        <is>
          <t>Nobel Prizes</t>
        </is>
      </c>
      <c r="B19" s="28" t="n">
        <v>0</v>
      </c>
      <c r="C19" s="28" t="n">
        <v>0</v>
      </c>
      <c r="D19" s="28" t="n">
        <v>2</v>
      </c>
    </row>
    <row r="20">
      <c r="A20" s="24" t="inlineStr">
        <is>
          <t>March Madness 2026</t>
        </is>
      </c>
      <c r="B20" s="25" t="inlineStr">
        <is>
          <t>No</t>
        </is>
      </c>
      <c r="C20" s="25" t="inlineStr">
        <is>
          <t>No</t>
        </is>
      </c>
      <c r="D20" s="25" t="inlineStr">
        <is>
          <t>No</t>
        </is>
      </c>
    </row>
    <row r="21">
      <c r="A21" s="23" t="inlineStr">
        <is>
          <t>State context (from premium file)</t>
        </is>
      </c>
      <c r="B21" s="23" t="n"/>
      <c r="C21" s="23" t="n"/>
      <c r="D21" s="23" t="n"/>
    </row>
    <row r="22">
      <c r="A22" s="24" t="inlineStr">
        <is>
          <t>State HS Earnings ($)</t>
        </is>
      </c>
      <c r="B22" s="27" t="n">
        <v>41528</v>
      </c>
      <c r="C22" s="27" t="n">
        <v>39771</v>
      </c>
      <c r="D22" s="27" t="n">
        <v>39771</v>
      </c>
    </row>
    <row r="23">
      <c r="A23" s="24" t="inlineStr">
        <is>
          <t>State Bachelor's Earnings ($)</t>
        </is>
      </c>
      <c r="B23" s="27" t="n">
        <v>80114</v>
      </c>
      <c r="C23" s="27" t="n">
        <v>74504</v>
      </c>
      <c r="D23" s="27" t="n">
        <v>74504</v>
      </c>
    </row>
    <row r="24">
      <c r="A24" s="24" t="inlineStr">
        <is>
          <t>State College Premium ($)</t>
        </is>
      </c>
      <c r="B24" s="27" t="n">
        <v>38586</v>
      </c>
      <c r="C24" s="27" t="n">
        <v>34733</v>
      </c>
      <c r="D24" s="27" t="n">
        <v>34733</v>
      </c>
    </row>
    <row r="25">
      <c r="A25" s="24" t="inlineStr">
        <is>
          <t>State Premium Ratio</t>
        </is>
      </c>
      <c r="B25" s="26" t="n">
        <v>1.93</v>
      </c>
      <c r="C25" s="26" t="n">
        <v>1.87</v>
      </c>
      <c r="D25" s="26" t="n">
        <v>1.87</v>
      </c>
    </row>
    <row r="26">
      <c r="A26" s="24" t="inlineStr">
        <is>
          <t>State Premium (%)</t>
        </is>
      </c>
      <c r="B26" s="26" t="n">
        <v>93</v>
      </c>
      <c r="C26" s="26" t="n">
        <v>87</v>
      </c>
      <c r="D26" s="26" t="n">
        <v>87</v>
      </c>
    </row>
    <row r="27">
      <c r="A27" s="24" t="inlineStr">
        <is>
          <t>State Cost of Living Index</t>
        </is>
      </c>
      <c r="B27" s="26" t="n">
        <v>108.8</v>
      </c>
      <c r="C27" s="26" t="n">
        <v>107.9</v>
      </c>
      <c r="D27" s="26" t="n">
        <v>107.9</v>
      </c>
    </row>
    <row r="28">
      <c r="A28" s="29" t="inlineStr">
        <is>
          <t>Calculated columns</t>
        </is>
      </c>
      <c r="B28" s="29" t="n"/>
      <c r="C28" s="29" t="n"/>
      <c r="D28" s="29" t="n"/>
    </row>
    <row r="29">
      <c r="A29" s="30" t="inlineStr">
        <is>
          <t>Earnings vs State Bachelor's ($)</t>
        </is>
      </c>
      <c r="B29" s="31" t="n">
        <v>-5635</v>
      </c>
      <c r="C29" s="31" t="n">
        <v>-11341</v>
      </c>
      <c r="D29" s="31" t="n">
        <v>8005</v>
      </c>
    </row>
    <row r="30">
      <c r="A30" s="30" t="inlineStr">
        <is>
          <t>Earnings / State Bachelor's</t>
        </is>
      </c>
      <c r="B30" s="32" t="n">
        <v>0.93</v>
      </c>
      <c r="C30" s="32" t="n">
        <v>0.848</v>
      </c>
      <c r="D30" s="32" t="n">
        <v>1.107</v>
      </c>
    </row>
    <row r="31">
      <c r="A31" s="30" t="inlineStr">
        <is>
          <t>COL-Adjusted Earnings ($)</t>
        </is>
      </c>
      <c r="B31" s="31" t="n">
        <v>68455</v>
      </c>
      <c r="C31" s="31" t="n">
        <v>58538</v>
      </c>
      <c r="D31" s="31" t="n">
        <v>76468</v>
      </c>
    </row>
    <row r="32">
      <c r="A32" s="30" t="inlineStr">
        <is>
          <t>Earnings per Tuition-Dollar (Out-of-State, 4yr)</t>
        </is>
      </c>
      <c r="B32" s="32" t="n">
        <v>0.506</v>
      </c>
      <c r="C32" s="32" t="n">
        <v>1.03</v>
      </c>
      <c r="D32" s="32" t="n">
        <v>0.328</v>
      </c>
    </row>
    <row r="33">
      <c r="A33" s="30" t="inlineStr">
        <is>
          <t>Earnings per Tuition-Dollar (In-State, 4yr)</t>
        </is>
      </c>
      <c r="B33" s="32" t="n">
        <v>1.079</v>
      </c>
      <c r="C33" s="32" t="n">
        <v>2.139</v>
      </c>
      <c r="D33" s="32" t="n">
        <v>0.328</v>
      </c>
    </row>
    <row r="34">
      <c r="A34" s="30" t="inlineStr">
        <is>
          <t>Above State Bachelor's Average?</t>
        </is>
      </c>
      <c r="B34" s="33" t="inlineStr">
        <is>
          <t>No</t>
        </is>
      </c>
      <c r="C34" s="33" t="inlineStr">
        <is>
          <t>No</t>
        </is>
      </c>
      <c r="D34" s="33" t="inlineStr">
        <is>
          <t>Yes</t>
        </is>
      </c>
    </row>
    <row r="35">
      <c r="A35" s="30" t="inlineStr">
        <is>
          <t>Rank: Earnings / State Bachelor's (1=best)</t>
        </is>
      </c>
      <c r="B35" s="34" t="n">
        <v>131</v>
      </c>
      <c r="C35" s="34" t="n">
        <v>152</v>
      </c>
      <c r="D35" s="34" t="n">
        <v>58</v>
      </c>
    </row>
    <row r="36">
      <c r="A36" s="30" t="inlineStr">
        <is>
          <t>Rank: COL-Adjusted Earnings (1=best)</t>
        </is>
      </c>
      <c r="B36" s="34" t="n">
        <v>96</v>
      </c>
      <c r="C36" s="34" t="n">
        <v>143</v>
      </c>
      <c r="D36" s="34" t="n">
        <v>60</v>
      </c>
    </row>
    <row r="37">
      <c r="A37" s="30" t="inlineStr">
        <is>
          <t>Debt as % of 10yr Earnings</t>
        </is>
      </c>
      <c r="B37" s="32" t="n">
        <v>28.9</v>
      </c>
      <c r="C37" s="32" t="n">
        <v>17.4</v>
      </c>
      <c r="D37" s="32" t="n">
        <v>24.8</v>
      </c>
    </row>
    <row r="38">
      <c r="A38" s="30" t="inlineStr">
        <is>
          <t>Nobel Prizes per 10,000 Students</t>
        </is>
      </c>
      <c r="B38" s="32" t="n">
        <v>0</v>
      </c>
      <c r="C38" s="32" t="n">
        <v>0</v>
      </c>
      <c r="D38" s="32" t="n">
        <v>0.7</v>
      </c>
    </row>
    <row r="40">
      <c r="A40" s="35" t="inlineStr">
        <is>
          <t>Gold rows are calculated columns; see the Methodology tab for the logic. Blank source values show as n/a.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F4C5C"/>
    <outlinePr summaryBelow="1" summaryRight="1"/>
    <pageSetUpPr/>
  </sheetPr>
  <dimension ref="A1:N4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53" t="inlineStr">
        <is>
          <t>Profile vs. the average: where each school ranks among all 200</t>
        </is>
      </c>
      <c r="B1" s="54" t="n"/>
      <c r="C1" s="54" t="n"/>
      <c r="D1" s="54" t="n"/>
      <c r="E1" s="54" t="n"/>
      <c r="F1" s="54" t="n"/>
      <c r="G1" s="54" t="n"/>
      <c r="H1" s="54" t="n"/>
      <c r="I1" s="54" t="n"/>
      <c r="J1" s="54" t="n"/>
      <c r="K1" s="54" t="n"/>
      <c r="L1" s="54" t="n"/>
      <c r="M1" s="54" t="n"/>
      <c r="N1" s="54" t="n"/>
    </row>
    <row r="2">
      <c r="A2" s="55" t="inlineStr">
        <is>
          <t>Percentile score (0–100) on 7 measures, oriented so higher is always better. 50 = typical school. Low tuition and low debt burden score high.</t>
        </is>
      </c>
      <c r="B2" s="54" t="n"/>
      <c r="C2" s="54" t="n"/>
      <c r="D2" s="54" t="n"/>
      <c r="E2" s="54" t="n"/>
      <c r="F2" s="54" t="n"/>
      <c r="G2" s="54" t="n"/>
      <c r="H2" s="54" t="n"/>
      <c r="I2" s="54" t="n"/>
      <c r="J2" s="54" t="n"/>
      <c r="K2" s="54" t="n"/>
      <c r="L2" s="54" t="n"/>
      <c r="M2" s="54" t="n"/>
      <c r="N2" s="54" t="n"/>
    </row>
    <row r="3">
      <c r="A3" s="54" t="n"/>
      <c r="B3" s="54" t="n"/>
      <c r="C3" s="54" t="n"/>
      <c r="D3" s="54" t="n"/>
      <c r="E3" s="54" t="n"/>
      <c r="F3" s="54" t="n"/>
      <c r="G3" s="54" t="n"/>
      <c r="H3" s="54" t="n"/>
      <c r="I3" s="54" t="n"/>
      <c r="J3" s="54" t="n"/>
      <c r="K3" s="54" t="n"/>
      <c r="L3" s="54" t="n"/>
      <c r="M3" s="54" t="n"/>
      <c r="N3" s="54" t="n"/>
    </row>
    <row r="4" ht="38" customHeight="1">
      <c r="A4" s="56" t="inlineStr">
        <is>
          <t>Measure</t>
        </is>
      </c>
      <c r="B4" s="56" t="inlineStr">
        <is>
          <t>Rutgers University-Newark</t>
        </is>
      </c>
      <c r="C4" s="56" t="inlineStr">
        <is>
          <t>CUNY Hunter College</t>
        </is>
      </c>
      <c r="D4" s="56" t="inlineStr">
        <is>
          <t>New York University</t>
        </is>
      </c>
      <c r="E4" s="56" t="inlineStr">
        <is>
          <t>Typical school (50th pct)</t>
        </is>
      </c>
      <c r="F4" s="54" t="n"/>
      <c r="G4" s="54" t="n"/>
      <c r="H4" s="54" t="n"/>
      <c r="I4" s="54" t="n"/>
      <c r="J4" s="54" t="n"/>
      <c r="K4" s="54" t="n"/>
      <c r="L4" s="54" t="n"/>
      <c r="M4" s="54" t="n"/>
      <c r="N4" s="54" t="n"/>
    </row>
    <row r="5">
      <c r="A5" s="54" t="inlineStr">
        <is>
          <t>10-yr earnings</t>
        </is>
      </c>
      <c r="B5" s="57" t="n">
        <v>63</v>
      </c>
      <c r="C5" s="57" t="n">
        <v>41</v>
      </c>
      <c r="D5" s="57" t="n">
        <v>76</v>
      </c>
      <c r="E5" s="57" t="n">
        <v>50</v>
      </c>
      <c r="F5" s="54" t="n"/>
      <c r="G5" s="54" t="n"/>
      <c r="H5" s="54" t="n"/>
      <c r="I5" s="54" t="n"/>
      <c r="J5" s="54" t="n"/>
      <c r="K5" s="54" t="n"/>
      <c r="L5" s="54" t="n"/>
      <c r="M5" s="54" t="n"/>
      <c r="N5" s="54" t="n"/>
    </row>
    <row r="6">
      <c r="A6" s="54" t="inlineStr">
        <is>
          <t>Completion rate</t>
        </is>
      </c>
      <c r="B6" s="57" t="n">
        <v>33</v>
      </c>
      <c r="C6" s="57" t="n">
        <v>24</v>
      </c>
      <c r="D6" s="57" t="n">
        <v>80</v>
      </c>
      <c r="E6" s="57" t="n">
        <v>50</v>
      </c>
      <c r="F6" s="54" t="n"/>
      <c r="G6" s="54" t="n"/>
      <c r="H6" s="54" t="n"/>
      <c r="I6" s="54" t="n"/>
      <c r="J6" s="54" t="n"/>
      <c r="K6" s="54" t="n"/>
      <c r="L6" s="54" t="n"/>
      <c r="M6" s="54" t="n"/>
      <c r="N6" s="54" t="n"/>
    </row>
    <row r="7">
      <c r="A7" s="54" t="inlineStr">
        <is>
          <t>Beats state baseline</t>
        </is>
      </c>
      <c r="B7" s="57" t="n">
        <v>34</v>
      </c>
      <c r="C7" s="57" t="n">
        <v>24</v>
      </c>
      <c r="D7" s="57" t="n">
        <v>71</v>
      </c>
      <c r="E7" s="57" t="n">
        <v>50</v>
      </c>
      <c r="F7" s="54" t="n"/>
      <c r="G7" s="54" t="n"/>
      <c r="H7" s="54" t="n"/>
      <c r="I7" s="54" t="n"/>
      <c r="J7" s="54" t="n"/>
      <c r="K7" s="54" t="n"/>
      <c r="L7" s="54" t="n"/>
      <c r="M7" s="54" t="n"/>
      <c r="N7" s="54" t="n"/>
    </row>
    <row r="8">
      <c r="A8" s="54" t="inlineStr">
        <is>
          <t>Cost-adjusted earnings</t>
        </is>
      </c>
      <c r="B8" s="57" t="n">
        <v>52</v>
      </c>
      <c r="C8" s="57" t="n">
        <v>28</v>
      </c>
      <c r="D8" s="57" t="n">
        <v>70</v>
      </c>
      <c r="E8" s="57" t="n">
        <v>50</v>
      </c>
      <c r="F8" s="54" t="n"/>
      <c r="G8" s="54" t="n"/>
      <c r="H8" s="54" t="n"/>
      <c r="I8" s="54" t="n"/>
      <c r="J8" s="54" t="n"/>
      <c r="K8" s="54" t="n"/>
      <c r="L8" s="54" t="n"/>
      <c r="M8" s="54" t="n"/>
      <c r="N8" s="54" t="n"/>
    </row>
    <row r="9">
      <c r="A9" s="54" t="inlineStr">
        <is>
          <t>Affordability (low in-state tuition)</t>
        </is>
      </c>
      <c r="B9" s="57" t="n">
        <v>40</v>
      </c>
      <c r="C9" s="57" t="n">
        <v>89</v>
      </c>
      <c r="D9" s="57" t="n">
        <v>17</v>
      </c>
      <c r="E9" s="57" t="n">
        <v>50</v>
      </c>
      <c r="F9" s="54" t="n"/>
      <c r="G9" s="54" t="n"/>
      <c r="H9" s="54" t="n"/>
      <c r="I9" s="54" t="n"/>
      <c r="J9" s="54" t="n"/>
      <c r="K9" s="54" t="n"/>
      <c r="L9" s="54" t="n"/>
      <c r="M9" s="54" t="n"/>
      <c r="N9" s="54" t="n"/>
    </row>
    <row r="10">
      <c r="A10" s="54" t="inlineStr">
        <is>
          <t>Low debt burden</t>
        </is>
      </c>
      <c r="B10" s="57" t="n">
        <v>52</v>
      </c>
      <c r="C10" s="57" t="n">
        <v>89</v>
      </c>
      <c r="D10" s="57" t="n">
        <v>69</v>
      </c>
      <c r="E10" s="57" t="n">
        <v>50</v>
      </c>
      <c r="F10" s="54" t="n"/>
      <c r="G10" s="54" t="n"/>
      <c r="H10" s="54" t="n"/>
      <c r="I10" s="54" t="n"/>
      <c r="J10" s="54" t="n"/>
      <c r="K10" s="54" t="n"/>
      <c r="L10" s="54" t="n"/>
      <c r="M10" s="54" t="n"/>
      <c r="N10" s="54" t="n"/>
    </row>
    <row r="11">
      <c r="A11" s="54" t="inlineStr">
        <is>
          <t>Return per tuition-$ (in-state)</t>
        </is>
      </c>
      <c r="B11" s="57" t="n">
        <v>45</v>
      </c>
      <c r="C11" s="57" t="n">
        <v>91</v>
      </c>
      <c r="D11" s="57" t="n">
        <v>12</v>
      </c>
      <c r="E11" s="57" t="n">
        <v>50</v>
      </c>
      <c r="F11" s="54" t="n"/>
      <c r="G11" s="54" t="n"/>
      <c r="H11" s="54" t="n"/>
      <c r="I11" s="54" t="n"/>
      <c r="J11" s="54" t="n"/>
      <c r="K11" s="54" t="n"/>
      <c r="L11" s="54" t="n"/>
      <c r="M11" s="54" t="n"/>
      <c r="N11" s="54" t="n"/>
    </row>
    <row r="12">
      <c r="A12" s="54" t="n"/>
      <c r="B12" s="54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4" t="n"/>
      <c r="M12" s="54" t="n"/>
      <c r="N12" s="54" t="n"/>
    </row>
    <row r="13">
      <c r="A13" s="54" t="n"/>
      <c r="B13" s="54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4" t="n"/>
      <c r="M13" s="54" t="n"/>
      <c r="N13" s="54" t="n"/>
    </row>
    <row r="14">
      <c r="A14" s="54" t="n"/>
      <c r="B14" s="54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4" t="n"/>
      <c r="M14" s="54" t="n"/>
      <c r="N14" s="54" t="n"/>
    </row>
    <row r="15">
      <c r="A15" s="54" t="n"/>
      <c r="B15" s="54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4" t="n"/>
      <c r="M15" s="54" t="n"/>
      <c r="N15" s="54" t="n"/>
    </row>
    <row r="16">
      <c r="A16" s="54" t="n"/>
      <c r="B16" s="54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4" t="n"/>
      <c r="M16" s="54" t="n"/>
      <c r="N16" s="54" t="n"/>
    </row>
    <row r="17">
      <c r="A17" s="54" t="n"/>
      <c r="B17" s="54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4" t="n"/>
      <c r="M17" s="54" t="n"/>
      <c r="N17" s="54" t="n"/>
    </row>
    <row r="18">
      <c r="A18" s="54" t="n"/>
      <c r="B18" s="54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4" t="n"/>
      <c r="M18" s="54" t="n"/>
      <c r="N18" s="54" t="n"/>
    </row>
    <row r="19">
      <c r="A19" s="54" t="n"/>
      <c r="B19" s="54" t="n"/>
      <c r="C19" s="54" t="n"/>
      <c r="D19" s="54" t="n"/>
      <c r="E19" s="54" t="n"/>
      <c r="F19" s="54" t="n"/>
      <c r="G19" s="54" t="n"/>
      <c r="H19" s="54" t="n"/>
      <c r="I19" s="54" t="n"/>
      <c r="J19" s="54" t="n"/>
      <c r="K19" s="54" t="n"/>
      <c r="L19" s="54" t="n"/>
      <c r="M19" s="54" t="n"/>
      <c r="N19" s="54" t="n"/>
    </row>
    <row r="20">
      <c r="A20" s="54" t="n"/>
      <c r="B20" s="54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4" t="n"/>
      <c r="M20" s="54" t="n"/>
      <c r="N20" s="54" t="n"/>
    </row>
    <row r="21">
      <c r="A21" s="54" t="n"/>
      <c r="B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4" t="n"/>
      <c r="M21" s="54" t="n"/>
      <c r="N21" s="54" t="n"/>
    </row>
    <row r="22">
      <c r="A22" s="54" t="n"/>
      <c r="B22" s="54" t="n"/>
      <c r="C22" s="54" t="n"/>
      <c r="D22" s="54" t="n"/>
      <c r="E22" s="54" t="n"/>
      <c r="F22" s="54" t="n"/>
      <c r="G22" s="54" t="n"/>
      <c r="H22" s="54" t="n"/>
      <c r="I22" s="54" t="n"/>
      <c r="J22" s="54" t="n"/>
      <c r="K22" s="54" t="n"/>
      <c r="L22" s="54" t="n"/>
      <c r="M22" s="54" t="n"/>
      <c r="N22" s="54" t="n"/>
    </row>
    <row r="23">
      <c r="A23" s="54" t="n"/>
      <c r="B23" s="54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4" t="n"/>
      <c r="M23" s="54" t="n"/>
      <c r="N23" s="54" t="n"/>
    </row>
    <row r="24">
      <c r="A24" s="54" t="n"/>
      <c r="B24" s="54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4" t="n"/>
      <c r="M24" s="54" t="n"/>
      <c r="N24" s="54" t="n"/>
    </row>
    <row r="25">
      <c r="A25" s="54" t="n"/>
      <c r="B25" s="54" t="n"/>
      <c r="C25" s="54" t="n"/>
      <c r="D25" s="54" t="n"/>
      <c r="E25" s="54" t="n"/>
      <c r="F25" s="54" t="n"/>
      <c r="G25" s="54" t="n"/>
      <c r="H25" s="54" t="n"/>
      <c r="I25" s="54" t="n"/>
      <c r="J25" s="54" t="n"/>
      <c r="K25" s="54" t="n"/>
      <c r="L25" s="54" t="n"/>
      <c r="M25" s="54" t="n"/>
      <c r="N25" s="54" t="n"/>
    </row>
    <row r="26">
      <c r="A26" s="54" t="n"/>
      <c r="B26" s="54" t="n"/>
      <c r="C26" s="54" t="n"/>
      <c r="D26" s="54" t="n"/>
      <c r="E26" s="54" t="n"/>
      <c r="F26" s="54" t="n"/>
      <c r="G26" s="54" t="n"/>
      <c r="H26" s="54" t="n"/>
      <c r="I26" s="54" t="n"/>
      <c r="J26" s="54" t="n"/>
      <c r="K26" s="54" t="n"/>
      <c r="L26" s="54" t="n"/>
      <c r="M26" s="54" t="n"/>
      <c r="N26" s="54" t="n"/>
    </row>
    <row r="27">
      <c r="A27" s="54" t="n"/>
      <c r="B27" s="54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4" t="n"/>
      <c r="M27" s="54" t="n"/>
      <c r="N27" s="54" t="n"/>
    </row>
    <row r="28">
      <c r="A28" s="54" t="n"/>
      <c r="B28" s="54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4" t="n"/>
      <c r="M28" s="54" t="n"/>
      <c r="N28" s="54" t="n"/>
    </row>
    <row r="29">
      <c r="A29" s="54" t="n"/>
      <c r="B29" s="54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4" t="n"/>
      <c r="M29" s="54" t="n"/>
      <c r="N29" s="54" t="n"/>
    </row>
    <row r="30">
      <c r="A30" s="54" t="n"/>
      <c r="B30" s="54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4" t="n"/>
      <c r="M30" s="54" t="n"/>
      <c r="N30" s="54" t="n"/>
    </row>
    <row r="31">
      <c r="A31" s="54" t="n"/>
      <c r="B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4" t="n"/>
      <c r="M31" s="54" t="n"/>
      <c r="N31" s="54" t="n"/>
    </row>
    <row r="32">
      <c r="A32" s="54" t="n"/>
      <c r="B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4" t="n"/>
      <c r="M32" s="54" t="n"/>
      <c r="N32" s="54" t="n"/>
    </row>
    <row r="33">
      <c r="A33" s="54" t="n"/>
      <c r="B33" s="54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4" t="n"/>
      <c r="M33" s="54" t="n"/>
      <c r="N33" s="54" t="n"/>
    </row>
    <row r="34">
      <c r="A34" s="54" t="n"/>
      <c r="B34" s="54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4" t="n"/>
      <c r="M34" s="54" t="n"/>
      <c r="N34" s="54" t="n"/>
    </row>
    <row r="35">
      <c r="A35" s="54" t="n"/>
      <c r="B35" s="54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4" t="n"/>
      <c r="M35" s="54" t="n"/>
      <c r="N35" s="54" t="n"/>
    </row>
    <row r="36">
      <c r="A36" s="54" t="n"/>
      <c r="B36" s="54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4" t="n"/>
      <c r="M36" s="54" t="n"/>
      <c r="N36" s="54" t="n"/>
    </row>
    <row r="37">
      <c r="A37" s="54" t="n"/>
      <c r="B37" s="54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4" t="n"/>
      <c r="M37" s="54" t="n"/>
      <c r="N37" s="54" t="n"/>
    </row>
    <row r="38">
      <c r="A38" s="54" t="n"/>
      <c r="B38" s="54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4" t="n"/>
      <c r="M38" s="54" t="n"/>
      <c r="N38" s="54" t="n"/>
    </row>
    <row r="39">
      <c r="A39" s="54" t="n"/>
      <c r="B39" s="54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4" t="n"/>
      <c r="M39" s="54" t="n"/>
      <c r="N39" s="54" t="n"/>
    </row>
    <row r="40">
      <c r="A40" s="54" t="n"/>
      <c r="B40" s="54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4" t="n"/>
      <c r="M40" s="54" t="n"/>
      <c r="N40" s="54" t="n"/>
    </row>
    <row r="41">
      <c r="A41" s="54" t="n"/>
      <c r="B41" s="54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4" t="n"/>
      <c r="M41" s="54" t="n"/>
      <c r="N41" s="54" t="n"/>
    </row>
    <row r="42">
      <c r="A42" s="54" t="n"/>
      <c r="B42" s="54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4" t="n"/>
      <c r="M42" s="54" t="n"/>
      <c r="N42" s="54" t="n"/>
    </row>
    <row r="43">
      <c r="A43" s="54" t="n"/>
      <c r="B43" s="54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4" t="n"/>
      <c r="M43" s="54" t="n"/>
      <c r="N43" s="54" t="n"/>
    </row>
    <row r="44">
      <c r="A44" s="55" t="inlineStr">
        <is>
          <t>Further from the center = better. Petrol (circles) = Rutgers-Newark, mist (diamonds) = Hunter, ink (squares) = NYU; dashed grey ring = the typical school. NYU: strong outcomes, weak affordability and return per tuition-$. Hunter: the reverse.</t>
        </is>
      </c>
      <c r="B44" s="54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4" t="n"/>
      <c r="M44" s="54" t="n"/>
      <c r="N44" s="54" t="n"/>
    </row>
    <row r="45">
      <c r="A45" s="54" t="n"/>
      <c r="B45" s="54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4" t="n"/>
      <c r="M45" s="54" t="n"/>
      <c r="N45" s="54" t="n"/>
    </row>
    <row r="46">
      <c r="A46" s="54" t="n"/>
      <c r="B46" s="54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4" t="n"/>
      <c r="M46" s="54" t="n"/>
      <c r="N46" s="54" t="n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0F4C5C"/>
    <outlinePr summaryBelow="1" summaryRight="1"/>
    <pageSetUpPr/>
  </sheetPr>
  <dimension ref="A1:N4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>
      <c r="A1" s="53" t="inlineStr">
        <is>
          <t>Raw vs. cost-of-living-adjusted earnings</t>
        </is>
      </c>
      <c r="B1" s="54" t="n"/>
      <c r="C1" s="54" t="n"/>
      <c r="D1" s="54" t="n"/>
      <c r="E1" s="54" t="n"/>
      <c r="F1" s="54" t="n"/>
      <c r="G1" s="54" t="n"/>
      <c r="H1" s="54" t="n"/>
      <c r="I1" s="54" t="n"/>
      <c r="J1" s="54" t="n"/>
      <c r="K1" s="54" t="n"/>
      <c r="L1" s="54" t="n"/>
      <c r="M1" s="54" t="n"/>
      <c r="N1" s="54" t="n"/>
    </row>
    <row r="2">
      <c r="A2" s="55" t="inlineStr">
        <is>
          <t>Adjusted = 10-yr median earnings ÷ (state cost-of-living index ÷ 100), i.e. restated in national-average-price dollars.</t>
        </is>
      </c>
      <c r="B2" s="54" t="n"/>
      <c r="C2" s="54" t="n"/>
      <c r="D2" s="54" t="n"/>
      <c r="E2" s="54" t="n"/>
      <c r="F2" s="54" t="n"/>
      <c r="G2" s="54" t="n"/>
      <c r="H2" s="54" t="n"/>
      <c r="I2" s="54" t="n"/>
      <c r="J2" s="54" t="n"/>
      <c r="K2" s="54" t="n"/>
      <c r="L2" s="54" t="n"/>
      <c r="M2" s="54" t="n"/>
      <c r="N2" s="54" t="n"/>
    </row>
    <row r="3">
      <c r="A3" s="54" t="n"/>
      <c r="B3" s="54" t="n"/>
      <c r="C3" s="54" t="n"/>
      <c r="D3" s="54" t="n"/>
      <c r="E3" s="54" t="n"/>
      <c r="F3" s="54" t="n"/>
      <c r="G3" s="54" t="n"/>
      <c r="H3" s="54" t="n"/>
      <c r="I3" s="54" t="n"/>
      <c r="J3" s="54" t="n"/>
      <c r="K3" s="54" t="n"/>
      <c r="L3" s="54" t="n"/>
      <c r="M3" s="54" t="n"/>
      <c r="N3" s="54" t="n"/>
    </row>
    <row r="4" ht="38" customHeight="1">
      <c r="A4" s="56" t="inlineStr">
        <is>
          <t>School</t>
        </is>
      </c>
      <c r="B4" s="56" t="inlineStr">
        <is>
          <t>State</t>
        </is>
      </c>
      <c r="C4" s="56" t="inlineStr">
        <is>
          <t>Cost-of-living index</t>
        </is>
      </c>
      <c r="D4" s="56" t="inlineStr">
        <is>
          <t>Raw 10-yr earnings ($)</t>
        </is>
      </c>
      <c r="E4" s="56" t="inlineStr">
        <is>
          <t>COL-adjusted earnings ($)</t>
        </is>
      </c>
      <c r="F4" s="56" t="inlineStr">
        <is>
          <t>Change ($)</t>
        </is>
      </c>
      <c r="G4" s="56" t="inlineStr">
        <is>
          <t>Change (%)</t>
        </is>
      </c>
      <c r="H4" s="54" t="n"/>
      <c r="I4" s="54" t="n"/>
      <c r="J4" s="54" t="n"/>
      <c r="K4" s="54" t="n"/>
      <c r="L4" s="54" t="n"/>
      <c r="M4" s="54" t="n"/>
      <c r="N4" s="54" t="n"/>
    </row>
    <row r="5">
      <c r="A5" s="58" t="inlineStr">
        <is>
          <t>Rutgers University-Newark</t>
        </is>
      </c>
      <c r="B5" s="54" t="inlineStr">
        <is>
          <t>NJ</t>
        </is>
      </c>
      <c r="C5" s="59" t="n">
        <v>108.8</v>
      </c>
      <c r="D5" s="60" t="n">
        <v>74479</v>
      </c>
      <c r="E5" s="60" t="n">
        <v>68455</v>
      </c>
      <c r="F5" s="61" t="n">
        <v>-6024</v>
      </c>
      <c r="G5" s="62" t="n">
        <v>-0.0809</v>
      </c>
      <c r="H5" s="54" t="n"/>
      <c r="I5" s="54" t="n"/>
      <c r="J5" s="54" t="n"/>
      <c r="K5" s="54" t="n"/>
      <c r="L5" s="54" t="n"/>
      <c r="M5" s="54" t="n"/>
      <c r="N5" s="54" t="n"/>
    </row>
    <row r="6">
      <c r="A6" s="58" t="inlineStr">
        <is>
          <t>CUNY Hunter College</t>
        </is>
      </c>
      <c r="B6" s="54" t="inlineStr">
        <is>
          <t>NY</t>
        </is>
      </c>
      <c r="C6" s="59" t="n">
        <v>107.9</v>
      </c>
      <c r="D6" s="60" t="n">
        <v>63163</v>
      </c>
      <c r="E6" s="60" t="n">
        <v>58538</v>
      </c>
      <c r="F6" s="61" t="n">
        <v>-4625</v>
      </c>
      <c r="G6" s="62" t="n">
        <v>-0.0732</v>
      </c>
      <c r="H6" s="54" t="n"/>
      <c r="I6" s="54" t="n"/>
      <c r="J6" s="54" t="n"/>
      <c r="K6" s="54" t="n"/>
      <c r="L6" s="54" t="n"/>
      <c r="M6" s="54" t="n"/>
      <c r="N6" s="54" t="n"/>
    </row>
    <row r="7">
      <c r="A7" s="58" t="inlineStr">
        <is>
          <t>New York University</t>
        </is>
      </c>
      <c r="B7" s="54" t="inlineStr">
        <is>
          <t>NY</t>
        </is>
      </c>
      <c r="C7" s="59" t="n">
        <v>107.9</v>
      </c>
      <c r="D7" s="60" t="n">
        <v>82509</v>
      </c>
      <c r="E7" s="60" t="n">
        <v>76468</v>
      </c>
      <c r="F7" s="61" t="n">
        <v>-6041</v>
      </c>
      <c r="G7" s="62" t="n">
        <v>-0.0732</v>
      </c>
      <c r="H7" s="54" t="n"/>
      <c r="I7" s="54" t="n"/>
      <c r="J7" s="54" t="n"/>
      <c r="K7" s="54" t="n"/>
      <c r="L7" s="54" t="n"/>
      <c r="M7" s="54" t="n"/>
      <c r="N7" s="54" t="n"/>
    </row>
    <row r="8">
      <c r="A8" s="54" t="n"/>
      <c r="B8" s="54" t="n"/>
      <c r="C8" s="54" t="n"/>
      <c r="D8" s="54" t="n"/>
      <c r="E8" s="54" t="n"/>
      <c r="F8" s="54" t="n"/>
      <c r="G8" s="54" t="n"/>
      <c r="H8" s="54" t="n"/>
      <c r="I8" s="54" t="n"/>
      <c r="J8" s="54" t="n"/>
      <c r="K8" s="54" t="n"/>
      <c r="L8" s="54" t="n"/>
      <c r="M8" s="54" t="n"/>
      <c r="N8" s="54" t="n"/>
    </row>
    <row r="9">
      <c r="A9" s="54" t="n"/>
      <c r="B9" s="54" t="n"/>
      <c r="C9" s="54" t="n"/>
      <c r="D9" s="54" t="n"/>
      <c r="E9" s="54" t="n"/>
      <c r="F9" s="54" t="n"/>
      <c r="G9" s="54" t="n"/>
      <c r="H9" s="54" t="n"/>
      <c r="I9" s="54" t="n"/>
      <c r="J9" s="54" t="n"/>
      <c r="K9" s="54" t="n"/>
      <c r="L9" s="54" t="n"/>
      <c r="M9" s="54" t="n"/>
      <c r="N9" s="54" t="n"/>
    </row>
    <row r="10">
      <c r="A10" s="54" t="n"/>
      <c r="B10" s="54" t="n"/>
      <c r="C10" s="54" t="n"/>
      <c r="D10" s="54" t="n"/>
      <c r="E10" s="54" t="n"/>
      <c r="F10" s="54" t="n"/>
      <c r="G10" s="54" t="n"/>
      <c r="H10" s="54" t="n"/>
      <c r="I10" s="54" t="n"/>
      <c r="J10" s="54" t="n"/>
      <c r="K10" s="54" t="n"/>
      <c r="L10" s="54" t="n"/>
      <c r="M10" s="54" t="n"/>
      <c r="N10" s="54" t="n"/>
    </row>
    <row r="11">
      <c r="A11" s="54" t="n"/>
      <c r="B11" s="54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4" t="n"/>
      <c r="M11" s="54" t="n"/>
      <c r="N11" s="54" t="n"/>
    </row>
    <row r="12">
      <c r="A12" s="54" t="n"/>
      <c r="B12" s="54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4" t="n"/>
      <c r="M12" s="54" t="n"/>
      <c r="N12" s="54" t="n"/>
    </row>
    <row r="13">
      <c r="A13" s="54" t="n"/>
      <c r="B13" s="54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4" t="n"/>
      <c r="M13" s="54" t="n"/>
      <c r="N13" s="54" t="n"/>
    </row>
    <row r="14">
      <c r="A14" s="54" t="n"/>
      <c r="B14" s="54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4" t="n"/>
      <c r="M14" s="54" t="n"/>
      <c r="N14" s="54" t="n"/>
    </row>
    <row r="15">
      <c r="A15" s="54" t="n"/>
      <c r="B15" s="54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4" t="n"/>
      <c r="M15" s="54" t="n"/>
      <c r="N15" s="54" t="n"/>
    </row>
    <row r="16">
      <c r="A16" s="54" t="n"/>
      <c r="B16" s="54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4" t="n"/>
      <c r="M16" s="54" t="n"/>
      <c r="N16" s="54" t="n"/>
    </row>
    <row r="17">
      <c r="A17" s="54" t="n"/>
      <c r="B17" s="54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4" t="n"/>
      <c r="M17" s="54" t="n"/>
      <c r="N17" s="54" t="n"/>
    </row>
    <row r="18">
      <c r="A18" s="54" t="n"/>
      <c r="B18" s="54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4" t="n"/>
      <c r="M18" s="54" t="n"/>
      <c r="N18" s="54" t="n"/>
    </row>
    <row r="19">
      <c r="A19" s="54" t="n"/>
      <c r="B19" s="54" t="n"/>
      <c r="C19" s="54" t="n"/>
      <c r="D19" s="54" t="n"/>
      <c r="E19" s="54" t="n"/>
      <c r="F19" s="54" t="n"/>
      <c r="G19" s="54" t="n"/>
      <c r="H19" s="54" t="n"/>
      <c r="I19" s="54" t="n"/>
      <c r="J19" s="54" t="n"/>
      <c r="K19" s="54" t="n"/>
      <c r="L19" s="54" t="n"/>
      <c r="M19" s="54" t="n"/>
      <c r="N19" s="54" t="n"/>
    </row>
    <row r="20">
      <c r="A20" s="54" t="n"/>
      <c r="B20" s="54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4" t="n"/>
      <c r="M20" s="54" t="n"/>
      <c r="N20" s="54" t="n"/>
    </row>
    <row r="21">
      <c r="A21" s="54" t="n"/>
      <c r="B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4" t="n"/>
      <c r="M21" s="54" t="n"/>
      <c r="N21" s="54" t="n"/>
    </row>
    <row r="22">
      <c r="A22" s="54" t="n"/>
      <c r="B22" s="54" t="n"/>
      <c r="C22" s="54" t="n"/>
      <c r="D22" s="54" t="n"/>
      <c r="E22" s="54" t="n"/>
      <c r="F22" s="54" t="n"/>
      <c r="G22" s="54" t="n"/>
      <c r="H22" s="54" t="n"/>
      <c r="I22" s="54" t="n"/>
      <c r="J22" s="54" t="n"/>
      <c r="K22" s="54" t="n"/>
      <c r="L22" s="54" t="n"/>
      <c r="M22" s="54" t="n"/>
      <c r="N22" s="54" t="n"/>
    </row>
    <row r="23">
      <c r="A23" s="54" t="n"/>
      <c r="B23" s="54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4" t="n"/>
      <c r="M23" s="54" t="n"/>
      <c r="N23" s="54" t="n"/>
    </row>
    <row r="24">
      <c r="A24" s="54" t="n"/>
      <c r="B24" s="54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4" t="n"/>
      <c r="M24" s="54" t="n"/>
      <c r="N24" s="54" t="n"/>
    </row>
    <row r="25">
      <c r="A25" s="54" t="n"/>
      <c r="B25" s="54" t="n"/>
      <c r="C25" s="54" t="n"/>
      <c r="D25" s="54" t="n"/>
      <c r="E25" s="54" t="n"/>
      <c r="F25" s="54" t="n"/>
      <c r="G25" s="54" t="n"/>
      <c r="H25" s="54" t="n"/>
      <c r="I25" s="54" t="n"/>
      <c r="J25" s="54" t="n"/>
      <c r="K25" s="54" t="n"/>
      <c r="L25" s="54" t="n"/>
      <c r="M25" s="54" t="n"/>
      <c r="N25" s="54" t="n"/>
    </row>
    <row r="26">
      <c r="A26" s="54" t="n"/>
      <c r="B26" s="54" t="n"/>
      <c r="C26" s="54" t="n"/>
      <c r="D26" s="54" t="n"/>
      <c r="E26" s="54" t="n"/>
      <c r="F26" s="54" t="n"/>
      <c r="G26" s="54" t="n"/>
      <c r="H26" s="54" t="n"/>
      <c r="I26" s="54" t="n"/>
      <c r="J26" s="54" t="n"/>
      <c r="K26" s="54" t="n"/>
      <c r="L26" s="54" t="n"/>
      <c r="M26" s="54" t="n"/>
      <c r="N26" s="54" t="n"/>
    </row>
    <row r="27">
      <c r="A27" s="54" t="n"/>
      <c r="B27" s="54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4" t="n"/>
      <c r="M27" s="54" t="n"/>
      <c r="N27" s="54" t="n"/>
    </row>
    <row r="28">
      <c r="A28" s="54" t="n"/>
      <c r="B28" s="54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4" t="n"/>
      <c r="M28" s="54" t="n"/>
      <c r="N28" s="54" t="n"/>
    </row>
    <row r="29">
      <c r="A29" s="54" t="n"/>
      <c r="B29" s="54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4" t="n"/>
      <c r="M29" s="54" t="n"/>
      <c r="N29" s="54" t="n"/>
    </row>
    <row r="30">
      <c r="A30" s="54" t="n"/>
      <c r="B30" s="54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4" t="n"/>
      <c r="M30" s="54" t="n"/>
      <c r="N30" s="54" t="n"/>
    </row>
    <row r="31">
      <c r="A31" s="54" t="n"/>
      <c r="B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4" t="n"/>
      <c r="M31" s="54" t="n"/>
      <c r="N31" s="54" t="n"/>
    </row>
    <row r="32">
      <c r="A32" s="54" t="n"/>
      <c r="B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4" t="n"/>
      <c r="M32" s="54" t="n"/>
      <c r="N32" s="54" t="n"/>
    </row>
    <row r="33">
      <c r="A33" s="54" t="n"/>
      <c r="B33" s="54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4" t="n"/>
      <c r="M33" s="54" t="n"/>
      <c r="N33" s="54" t="n"/>
    </row>
    <row r="34">
      <c r="A34" s="54" t="n"/>
      <c r="B34" s="54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4" t="n"/>
      <c r="M34" s="54" t="n"/>
      <c r="N34" s="54" t="n"/>
    </row>
    <row r="35">
      <c r="A35" s="54" t="n"/>
      <c r="B35" s="54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4" t="n"/>
      <c r="M35" s="54" t="n"/>
      <c r="N35" s="54" t="n"/>
    </row>
    <row r="36">
      <c r="A36" s="54" t="n"/>
      <c r="B36" s="54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4" t="n"/>
      <c r="M36" s="54" t="n"/>
      <c r="N36" s="54" t="n"/>
    </row>
    <row r="37">
      <c r="A37" s="55" t="inlineStr">
        <is>
          <t>Light slate = raw earnings; petrol = cost-of-living-adjusted. Adjusting shrinks every bar 7–8% (NJ 108.8, NY 107.9). Dataset average: $70,114 raw, $69,617 adjusted.</t>
        </is>
      </c>
      <c r="B37" s="54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4" t="n"/>
      <c r="M37" s="54" t="n"/>
      <c r="N37" s="54" t="n"/>
    </row>
    <row r="38">
      <c r="A38" s="54" t="n"/>
      <c r="B38" s="54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4" t="n"/>
      <c r="M38" s="54" t="n"/>
      <c r="N38" s="54" t="n"/>
    </row>
    <row r="39">
      <c r="A39" s="54" t="n"/>
      <c r="B39" s="54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4" t="n"/>
      <c r="M39" s="54" t="n"/>
      <c r="N39" s="54" t="n"/>
    </row>
    <row r="40">
      <c r="A40" s="54" t="n"/>
      <c r="B40" s="54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4" t="n"/>
      <c r="M40" s="54" t="n"/>
      <c r="N40" s="54" t="n"/>
    </row>
    <row r="41">
      <c r="A41" s="54" t="n"/>
      <c r="B41" s="54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4" t="n"/>
      <c r="M41" s="54" t="n"/>
      <c r="N41" s="54" t="n"/>
    </row>
    <row r="42">
      <c r="A42" s="54" t="n"/>
      <c r="B42" s="54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4" t="n"/>
      <c r="M42" s="54" t="n"/>
      <c r="N42" s="54" t="n"/>
    </row>
    <row r="43">
      <c r="A43" s="54" t="n"/>
      <c r="B43" s="54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4" t="n"/>
      <c r="M43" s="54" t="n"/>
      <c r="N43" s="54" t="n"/>
    </row>
    <row r="44">
      <c r="A44" s="54" t="n"/>
      <c r="B44" s="54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4" t="n"/>
      <c r="M44" s="54" t="n"/>
      <c r="N44" s="54" t="n"/>
    </row>
    <row r="45">
      <c r="A45" s="54" t="n"/>
      <c r="B45" s="54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4" t="n"/>
      <c r="M45" s="54" t="n"/>
      <c r="N45" s="54" t="n"/>
    </row>
    <row r="46">
      <c r="A46" s="54" t="n"/>
      <c r="B46" s="54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4" t="n"/>
      <c r="M46" s="54" t="n"/>
      <c r="N46" s="54" t="n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0F4C5C"/>
    <outlinePr summaryBelow="1" summaryRight="1"/>
    <pageSetUpPr/>
  </sheetPr>
  <dimension ref="A1:N4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53" t="inlineStr">
        <is>
          <t>Do my schools beat the typical bachelor's earner in their own state?</t>
        </is>
      </c>
      <c r="B1" s="54" t="n"/>
      <c r="C1" s="54" t="n"/>
      <c r="D1" s="54" t="n"/>
      <c r="E1" s="54" t="n"/>
      <c r="F1" s="54" t="n"/>
      <c r="G1" s="54" t="n"/>
      <c r="H1" s="54" t="n"/>
      <c r="I1" s="54" t="n"/>
      <c r="J1" s="54" t="n"/>
      <c r="K1" s="54" t="n"/>
      <c r="L1" s="54" t="n"/>
      <c r="M1" s="54" t="n"/>
      <c r="N1" s="54" t="n"/>
    </row>
    <row r="2">
      <c r="A2" s="55" t="inlineStr">
        <is>
          <t>Median earnings 10 years after entry vs. state median earnings for bachelor's holders (College Scorecard; US Census).</t>
        </is>
      </c>
      <c r="B2" s="54" t="n"/>
      <c r="C2" s="54" t="n"/>
      <c r="D2" s="54" t="n"/>
      <c r="E2" s="54" t="n"/>
      <c r="F2" s="54" t="n"/>
      <c r="G2" s="54" t="n"/>
      <c r="H2" s="54" t="n"/>
      <c r="I2" s="54" t="n"/>
      <c r="J2" s="54" t="n"/>
      <c r="K2" s="54" t="n"/>
      <c r="L2" s="54" t="n"/>
      <c r="M2" s="54" t="n"/>
      <c r="N2" s="54" t="n"/>
    </row>
    <row r="3">
      <c r="A3" s="54" t="n"/>
      <c r="B3" s="54" t="n"/>
      <c r="C3" s="54" t="n"/>
      <c r="D3" s="54" t="n"/>
      <c r="E3" s="54" t="n"/>
      <c r="F3" s="54" t="n"/>
      <c r="G3" s="54" t="n"/>
      <c r="H3" s="54" t="n"/>
      <c r="I3" s="54" t="n"/>
      <c r="J3" s="54" t="n"/>
      <c r="K3" s="54" t="n"/>
      <c r="L3" s="54" t="n"/>
      <c r="M3" s="54" t="n"/>
      <c r="N3" s="54" t="n"/>
    </row>
    <row r="4" ht="38" customHeight="1">
      <c r="A4" s="56" t="inlineStr">
        <is>
          <t>School</t>
        </is>
      </c>
      <c r="B4" s="56" t="inlineStr">
        <is>
          <t>School graduates' 10-yr median earnings ($)</t>
        </is>
      </c>
      <c r="C4" s="56" t="inlineStr">
        <is>
          <t>State bachelor's median earnings ($)</t>
        </is>
      </c>
      <c r="D4" s="56" t="inlineStr">
        <is>
          <t>Gap ($)</t>
        </is>
      </c>
      <c r="E4" s="56" t="inlineStr">
        <is>
          <t>State</t>
        </is>
      </c>
      <c r="F4" s="54" t="n"/>
      <c r="G4" s="54" t="n"/>
      <c r="H4" s="54" t="n"/>
      <c r="I4" s="54" t="n"/>
      <c r="J4" s="54" t="n"/>
      <c r="K4" s="54" t="n"/>
      <c r="L4" s="54" t="n"/>
      <c r="M4" s="54" t="n"/>
      <c r="N4" s="54" t="n"/>
    </row>
    <row r="5">
      <c r="A5" s="58" t="inlineStr">
        <is>
          <t>Rutgers University-Newark</t>
        </is>
      </c>
      <c r="B5" s="60" t="n">
        <v>74479</v>
      </c>
      <c r="C5" s="60" t="n">
        <v>80114</v>
      </c>
      <c r="D5" s="61" t="n">
        <v>-5635</v>
      </c>
      <c r="E5" s="54" t="inlineStr">
        <is>
          <t>NJ</t>
        </is>
      </c>
      <c r="F5" s="54" t="n"/>
      <c r="G5" s="54" t="n"/>
      <c r="H5" s="54" t="n"/>
      <c r="I5" s="54" t="n"/>
      <c r="J5" s="54" t="n"/>
      <c r="K5" s="54" t="n"/>
      <c r="L5" s="54" t="n"/>
      <c r="M5" s="54" t="n"/>
      <c r="N5" s="54" t="n"/>
    </row>
    <row r="6">
      <c r="A6" s="58" t="inlineStr">
        <is>
          <t>CUNY Hunter College</t>
        </is>
      </c>
      <c r="B6" s="60" t="n">
        <v>63163</v>
      </c>
      <c r="C6" s="60" t="n">
        <v>74504</v>
      </c>
      <c r="D6" s="61" t="n">
        <v>-11341</v>
      </c>
      <c r="E6" s="54" t="inlineStr">
        <is>
          <t>NY</t>
        </is>
      </c>
      <c r="F6" s="54" t="n"/>
      <c r="G6" s="54" t="n"/>
      <c r="H6" s="54" t="n"/>
      <c r="I6" s="54" t="n"/>
      <c r="J6" s="54" t="n"/>
      <c r="K6" s="54" t="n"/>
      <c r="L6" s="54" t="n"/>
      <c r="M6" s="54" t="n"/>
      <c r="N6" s="54" t="n"/>
    </row>
    <row r="7">
      <c r="A7" s="58" t="inlineStr">
        <is>
          <t>New York University</t>
        </is>
      </c>
      <c r="B7" s="60" t="n">
        <v>82509</v>
      </c>
      <c r="C7" s="60" t="n">
        <v>74504</v>
      </c>
      <c r="D7" s="61" t="n">
        <v>8005</v>
      </c>
      <c r="E7" s="54" t="inlineStr">
        <is>
          <t>NY</t>
        </is>
      </c>
      <c r="F7" s="54" t="n"/>
      <c r="G7" s="54" t="n"/>
      <c r="H7" s="54" t="n"/>
      <c r="I7" s="54" t="n"/>
      <c r="J7" s="54" t="n"/>
      <c r="K7" s="54" t="n"/>
      <c r="L7" s="54" t="n"/>
      <c r="M7" s="54" t="n"/>
      <c r="N7" s="54" t="n"/>
    </row>
    <row r="8">
      <c r="A8" s="54" t="n"/>
      <c r="B8" s="54" t="n"/>
      <c r="C8" s="54" t="n"/>
      <c r="D8" s="54" t="n"/>
      <c r="E8" s="54" t="n"/>
      <c r="F8" s="54" t="n"/>
      <c r="G8" s="54" t="n"/>
      <c r="H8" s="54" t="n"/>
      <c r="I8" s="54" t="n"/>
      <c r="J8" s="54" t="n"/>
      <c r="K8" s="54" t="n"/>
      <c r="L8" s="54" t="n"/>
      <c r="M8" s="54" t="n"/>
      <c r="N8" s="54" t="n"/>
    </row>
    <row r="9">
      <c r="A9" s="54" t="n"/>
      <c r="B9" s="54" t="n"/>
      <c r="C9" s="54" t="n"/>
      <c r="D9" s="54" t="n"/>
      <c r="E9" s="54" t="n"/>
      <c r="F9" s="54" t="n"/>
      <c r="G9" s="54" t="n"/>
      <c r="H9" s="54" t="n"/>
      <c r="I9" s="54" t="n"/>
      <c r="J9" s="54" t="n"/>
      <c r="K9" s="54" t="n"/>
      <c r="L9" s="54" t="n"/>
      <c r="M9" s="54" t="n"/>
      <c r="N9" s="54" t="n"/>
    </row>
    <row r="10">
      <c r="A10" s="54" t="n"/>
      <c r="B10" s="54" t="n"/>
      <c r="C10" s="54" t="n"/>
      <c r="D10" s="54" t="n"/>
      <c r="E10" s="54" t="n"/>
      <c r="F10" s="54" t="n"/>
      <c r="G10" s="54" t="n"/>
      <c r="H10" s="54" t="n"/>
      <c r="I10" s="54" t="n"/>
      <c r="J10" s="54" t="n"/>
      <c r="K10" s="54" t="n"/>
      <c r="L10" s="54" t="n"/>
      <c r="M10" s="54" t="n"/>
      <c r="N10" s="54" t="n"/>
    </row>
    <row r="11">
      <c r="A11" s="54" t="n"/>
      <c r="B11" s="54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4" t="n"/>
      <c r="M11" s="54" t="n"/>
      <c r="N11" s="54" t="n"/>
    </row>
    <row r="12">
      <c r="A12" s="54" t="n"/>
      <c r="B12" s="54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4" t="n"/>
      <c r="M12" s="54" t="n"/>
      <c r="N12" s="54" t="n"/>
    </row>
    <row r="13">
      <c r="A13" s="54" t="n"/>
      <c r="B13" s="54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4" t="n"/>
      <c r="M13" s="54" t="n"/>
      <c r="N13" s="54" t="n"/>
    </row>
    <row r="14">
      <c r="A14" s="54" t="n"/>
      <c r="B14" s="54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4" t="n"/>
      <c r="M14" s="54" t="n"/>
      <c r="N14" s="54" t="n"/>
    </row>
    <row r="15">
      <c r="A15" s="54" t="n"/>
      <c r="B15" s="54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4" t="n"/>
      <c r="M15" s="54" t="n"/>
      <c r="N15" s="54" t="n"/>
    </row>
    <row r="16">
      <c r="A16" s="54" t="n"/>
      <c r="B16" s="54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4" t="n"/>
      <c r="M16" s="54" t="n"/>
      <c r="N16" s="54" t="n"/>
    </row>
    <row r="17">
      <c r="A17" s="54" t="n"/>
      <c r="B17" s="54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4" t="n"/>
      <c r="M17" s="54" t="n"/>
      <c r="N17" s="54" t="n"/>
    </row>
    <row r="18">
      <c r="A18" s="54" t="n"/>
      <c r="B18" s="54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4" t="n"/>
      <c r="M18" s="54" t="n"/>
      <c r="N18" s="54" t="n"/>
    </row>
    <row r="19">
      <c r="A19" s="54" t="n"/>
      <c r="B19" s="54" t="n"/>
      <c r="C19" s="54" t="n"/>
      <c r="D19" s="54" t="n"/>
      <c r="E19" s="54" t="n"/>
      <c r="F19" s="54" t="n"/>
      <c r="G19" s="54" t="n"/>
      <c r="H19" s="54" t="n"/>
      <c r="I19" s="54" t="n"/>
      <c r="J19" s="54" t="n"/>
      <c r="K19" s="54" t="n"/>
      <c r="L19" s="54" t="n"/>
      <c r="M19" s="54" t="n"/>
      <c r="N19" s="54" t="n"/>
    </row>
    <row r="20">
      <c r="A20" s="54" t="n"/>
      <c r="B20" s="54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4" t="n"/>
      <c r="M20" s="54" t="n"/>
      <c r="N20" s="54" t="n"/>
    </row>
    <row r="21">
      <c r="A21" s="54" t="n"/>
      <c r="B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4" t="n"/>
      <c r="M21" s="54" t="n"/>
      <c r="N21" s="54" t="n"/>
    </row>
    <row r="22">
      <c r="A22" s="54" t="n"/>
      <c r="B22" s="54" t="n"/>
      <c r="C22" s="54" t="n"/>
      <c r="D22" s="54" t="n"/>
      <c r="E22" s="54" t="n"/>
      <c r="F22" s="54" t="n"/>
      <c r="G22" s="54" t="n"/>
      <c r="H22" s="54" t="n"/>
      <c r="I22" s="54" t="n"/>
      <c r="J22" s="54" t="n"/>
      <c r="K22" s="54" t="n"/>
      <c r="L22" s="54" t="n"/>
      <c r="M22" s="54" t="n"/>
      <c r="N22" s="54" t="n"/>
    </row>
    <row r="23">
      <c r="A23" s="54" t="n"/>
      <c r="B23" s="54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4" t="n"/>
      <c r="M23" s="54" t="n"/>
      <c r="N23" s="54" t="n"/>
    </row>
    <row r="24">
      <c r="A24" s="54" t="n"/>
      <c r="B24" s="54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4" t="n"/>
      <c r="M24" s="54" t="n"/>
      <c r="N24" s="54" t="n"/>
    </row>
    <row r="25">
      <c r="A25" s="54" t="n"/>
      <c r="B25" s="54" t="n"/>
      <c r="C25" s="54" t="n"/>
      <c r="D25" s="54" t="n"/>
      <c r="E25" s="54" t="n"/>
      <c r="F25" s="54" t="n"/>
      <c r="G25" s="54" t="n"/>
      <c r="H25" s="54" t="n"/>
      <c r="I25" s="54" t="n"/>
      <c r="J25" s="54" t="n"/>
      <c r="K25" s="54" t="n"/>
      <c r="L25" s="54" t="n"/>
      <c r="M25" s="54" t="n"/>
      <c r="N25" s="54" t="n"/>
    </row>
    <row r="26">
      <c r="A26" s="54" t="n"/>
      <c r="B26" s="54" t="n"/>
      <c r="C26" s="54" t="n"/>
      <c r="D26" s="54" t="n"/>
      <c r="E26" s="54" t="n"/>
      <c r="F26" s="54" t="n"/>
      <c r="G26" s="54" t="n"/>
      <c r="H26" s="54" t="n"/>
      <c r="I26" s="54" t="n"/>
      <c r="J26" s="54" t="n"/>
      <c r="K26" s="54" t="n"/>
      <c r="L26" s="54" t="n"/>
      <c r="M26" s="54" t="n"/>
      <c r="N26" s="54" t="n"/>
    </row>
    <row r="27">
      <c r="A27" s="54" t="n"/>
      <c r="B27" s="54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4" t="n"/>
      <c r="M27" s="54" t="n"/>
      <c r="N27" s="54" t="n"/>
    </row>
    <row r="28">
      <c r="A28" s="54" t="n"/>
      <c r="B28" s="54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4" t="n"/>
      <c r="M28" s="54" t="n"/>
      <c r="N28" s="54" t="n"/>
    </row>
    <row r="29">
      <c r="A29" s="54" t="n"/>
      <c r="B29" s="54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4" t="n"/>
      <c r="M29" s="54" t="n"/>
      <c r="N29" s="54" t="n"/>
    </row>
    <row r="30">
      <c r="A30" s="54" t="n"/>
      <c r="B30" s="54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4" t="n"/>
      <c r="M30" s="54" t="n"/>
      <c r="N30" s="54" t="n"/>
    </row>
    <row r="31">
      <c r="A31" s="54" t="n"/>
      <c r="B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4" t="n"/>
      <c r="M31" s="54" t="n"/>
      <c r="N31" s="54" t="n"/>
    </row>
    <row r="32">
      <c r="A32" s="54" t="n"/>
      <c r="B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4" t="n"/>
      <c r="M32" s="54" t="n"/>
      <c r="N32" s="54" t="n"/>
    </row>
    <row r="33">
      <c r="A33" s="54" t="n"/>
      <c r="B33" s="54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4" t="n"/>
      <c r="M33" s="54" t="n"/>
      <c r="N33" s="54" t="n"/>
    </row>
    <row r="34">
      <c r="A34" s="54" t="n"/>
      <c r="B34" s="54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4" t="n"/>
      <c r="M34" s="54" t="n"/>
      <c r="N34" s="54" t="n"/>
    </row>
    <row r="35">
      <c r="A35" s="54" t="n"/>
      <c r="B35" s="54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4" t="n"/>
      <c r="M35" s="54" t="n"/>
      <c r="N35" s="54" t="n"/>
    </row>
    <row r="36">
      <c r="A36" s="54" t="n"/>
      <c r="B36" s="54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4" t="n"/>
      <c r="M36" s="54" t="n"/>
      <c r="N36" s="54" t="n"/>
    </row>
    <row r="37">
      <c r="A37" s="55" t="inlineStr">
        <is>
          <t>Petrol = my school's graduates; light slate = state bachelor's average (NJ for Rutgers-Newark, NY for Hunter and NYU). Only NYU beats its baseline (+$8,005).</t>
        </is>
      </c>
      <c r="B37" s="54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4" t="n"/>
      <c r="M37" s="54" t="n"/>
      <c r="N37" s="54" t="n"/>
    </row>
    <row r="38">
      <c r="A38" s="54" t="n"/>
      <c r="B38" s="54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4" t="n"/>
      <c r="M38" s="54" t="n"/>
      <c r="N38" s="54" t="n"/>
    </row>
    <row r="39">
      <c r="A39" s="54" t="n"/>
      <c r="B39" s="54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4" t="n"/>
      <c r="M39" s="54" t="n"/>
      <c r="N39" s="54" t="n"/>
    </row>
    <row r="40">
      <c r="A40" s="54" t="n"/>
      <c r="B40" s="54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4" t="n"/>
      <c r="M40" s="54" t="n"/>
      <c r="N40" s="54" t="n"/>
    </row>
    <row r="41">
      <c r="A41" s="54" t="n"/>
      <c r="B41" s="54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4" t="n"/>
      <c r="M41" s="54" t="n"/>
      <c r="N41" s="54" t="n"/>
    </row>
    <row r="42">
      <c r="A42" s="54" t="n"/>
      <c r="B42" s="54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4" t="n"/>
      <c r="M42" s="54" t="n"/>
      <c r="N42" s="54" t="n"/>
    </row>
    <row r="43">
      <c r="A43" s="54" t="n"/>
      <c r="B43" s="54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4" t="n"/>
      <c r="M43" s="54" t="n"/>
      <c r="N43" s="54" t="n"/>
    </row>
    <row r="44">
      <c r="A44" s="54" t="n"/>
      <c r="B44" s="54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4" t="n"/>
      <c r="M44" s="54" t="n"/>
      <c r="N44" s="54" t="n"/>
    </row>
    <row r="45">
      <c r="A45" s="54" t="n"/>
      <c r="B45" s="54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4" t="n"/>
      <c r="M45" s="54" t="n"/>
      <c r="N45" s="54" t="n"/>
    </row>
    <row r="46">
      <c r="A46" s="54" t="n"/>
      <c r="B46" s="54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4" t="n"/>
      <c r="M46" s="54" t="n"/>
      <c r="N46" s="54" t="n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0F4C5C"/>
    <outlinePr summaryBelow="1" summaryRight="1"/>
    <pageSetUpPr/>
  </sheetPr>
  <dimension ref="A1:N4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53" t="inlineStr">
        <is>
          <t>How much 10-year earnings does each tuition dollar "buy"?</t>
        </is>
      </c>
      <c r="B1" s="54" t="n"/>
      <c r="C1" s="54" t="n"/>
      <c r="D1" s="54" t="n"/>
      <c r="E1" s="54" t="n"/>
      <c r="F1" s="54" t="n"/>
      <c r="G1" s="54" t="n"/>
      <c r="H1" s="54" t="n"/>
      <c r="I1" s="54" t="n"/>
      <c r="J1" s="54" t="n"/>
      <c r="K1" s="54" t="n"/>
      <c r="L1" s="54" t="n"/>
      <c r="M1" s="54" t="n"/>
      <c r="N1" s="54" t="n"/>
    </row>
    <row r="2">
      <c r="A2" s="55" t="inlineStr">
        <is>
          <t>10-yr median earnings ÷ (4 years of tuition). Higher = more earnings per dollar of sticker price; ignores aid, housing, and time to degree.</t>
        </is>
      </c>
      <c r="B2" s="54" t="n"/>
      <c r="C2" s="54" t="n"/>
      <c r="D2" s="54" t="n"/>
      <c r="E2" s="54" t="n"/>
      <c r="F2" s="54" t="n"/>
      <c r="G2" s="54" t="n"/>
      <c r="H2" s="54" t="n"/>
      <c r="I2" s="54" t="n"/>
      <c r="J2" s="54" t="n"/>
      <c r="K2" s="54" t="n"/>
      <c r="L2" s="54" t="n"/>
      <c r="M2" s="54" t="n"/>
      <c r="N2" s="54" t="n"/>
    </row>
    <row r="3">
      <c r="A3" s="54" t="n"/>
      <c r="B3" s="54" t="n"/>
      <c r="C3" s="54" t="n"/>
      <c r="D3" s="54" t="n"/>
      <c r="E3" s="54" t="n"/>
      <c r="F3" s="54" t="n"/>
      <c r="G3" s="54" t="n"/>
      <c r="H3" s="54" t="n"/>
      <c r="I3" s="54" t="n"/>
      <c r="J3" s="54" t="n"/>
      <c r="K3" s="54" t="n"/>
      <c r="L3" s="54" t="n"/>
      <c r="M3" s="54" t="n"/>
      <c r="N3" s="54" t="n"/>
    </row>
    <row r="4" ht="38" customHeight="1">
      <c r="A4" s="56" t="inlineStr">
        <is>
          <t>School</t>
        </is>
      </c>
      <c r="B4" s="56" t="inlineStr">
        <is>
          <t>In-state tuition ($/yr)</t>
        </is>
      </c>
      <c r="C4" s="56" t="inlineStr">
        <is>
          <t>Out-of-state tuition ($/yr)</t>
        </is>
      </c>
      <c r="D4" s="56" t="inlineStr">
        <is>
          <t>10-yr median earnings ($)</t>
        </is>
      </c>
      <c r="E4" s="56" t="inlineStr">
        <is>
          <t>Earnings per tuition-$ (in-state)</t>
        </is>
      </c>
      <c r="F4" s="56" t="inlineStr">
        <is>
          <t>Earnings per tuition-$ (out-of-state)</t>
        </is>
      </c>
      <c r="G4" s="54" t="n"/>
      <c r="H4" s="54" t="n"/>
      <c r="I4" s="54" t="n"/>
      <c r="J4" s="54" t="n"/>
      <c r="K4" s="54" t="n"/>
      <c r="L4" s="54" t="n"/>
      <c r="M4" s="54" t="n"/>
      <c r="N4" s="54" t="n"/>
    </row>
    <row r="5">
      <c r="A5" s="58" t="inlineStr">
        <is>
          <t>Rutgers University-Newark</t>
        </is>
      </c>
      <c r="B5" s="60" t="n">
        <v>17250</v>
      </c>
      <c r="C5" s="60" t="n">
        <v>36762</v>
      </c>
      <c r="D5" s="60" t="n">
        <v>74479</v>
      </c>
      <c r="E5" s="63" t="n">
        <v>1.08</v>
      </c>
      <c r="F5" s="63" t="n">
        <v>0.51</v>
      </c>
      <c r="G5" s="54" t="n"/>
      <c r="H5" s="54" t="n"/>
      <c r="I5" s="54" t="n"/>
      <c r="J5" s="54" t="n"/>
      <c r="K5" s="54" t="n"/>
      <c r="L5" s="54" t="n"/>
      <c r="M5" s="54" t="n"/>
      <c r="N5" s="54" t="n"/>
    </row>
    <row r="6">
      <c r="A6" s="58" t="inlineStr">
        <is>
          <t>CUNY Hunter College</t>
        </is>
      </c>
      <c r="B6" s="60" t="n">
        <v>7382</v>
      </c>
      <c r="C6" s="60" t="n">
        <v>15332</v>
      </c>
      <c r="D6" s="60" t="n">
        <v>63163</v>
      </c>
      <c r="E6" s="63" t="n">
        <v>2.14</v>
      </c>
      <c r="F6" s="63" t="n">
        <v>1.03</v>
      </c>
      <c r="G6" s="54" t="n"/>
      <c r="H6" s="54" t="n"/>
      <c r="I6" s="54" t="n"/>
      <c r="J6" s="54" t="n"/>
      <c r="K6" s="54" t="n"/>
      <c r="L6" s="54" t="n"/>
      <c r="M6" s="54" t="n"/>
      <c r="N6" s="54" t="n"/>
    </row>
    <row r="7">
      <c r="A7" s="58" t="inlineStr">
        <is>
          <t>New York University</t>
        </is>
      </c>
      <c r="B7" s="60" t="n">
        <v>62796</v>
      </c>
      <c r="C7" s="60" t="n">
        <v>62796</v>
      </c>
      <c r="D7" s="60" t="n">
        <v>82509</v>
      </c>
      <c r="E7" s="63" t="n">
        <v>0.33</v>
      </c>
      <c r="F7" s="63" t="n">
        <v>0.33</v>
      </c>
      <c r="G7" s="54" t="n"/>
      <c r="H7" s="54" t="n"/>
      <c r="I7" s="54" t="n"/>
      <c r="J7" s="54" t="n"/>
      <c r="K7" s="54" t="n"/>
      <c r="L7" s="54" t="n"/>
      <c r="M7" s="54" t="n"/>
      <c r="N7" s="54" t="n"/>
    </row>
    <row r="8">
      <c r="A8" s="64" t="inlineStr">
        <is>
          <t>All 200 schools (average)</t>
        </is>
      </c>
      <c r="B8" s="60" t="n">
        <v>27816</v>
      </c>
      <c r="C8" s="60" t="n">
        <v>38982</v>
      </c>
      <c r="D8" s="60" t="n">
        <v>70114</v>
      </c>
      <c r="E8" s="63" t="n">
        <v>1.11</v>
      </c>
      <c r="F8" s="63" t="n">
        <v>0.55</v>
      </c>
      <c r="G8" s="54" t="n"/>
      <c r="H8" s="54" t="n"/>
      <c r="I8" s="54" t="n"/>
      <c r="J8" s="54" t="n"/>
      <c r="K8" s="54" t="n"/>
      <c r="L8" s="54" t="n"/>
      <c r="M8" s="54" t="n"/>
      <c r="N8" s="54" t="n"/>
    </row>
    <row r="9">
      <c r="A9" s="54" t="n"/>
      <c r="B9" s="54" t="n"/>
      <c r="C9" s="54" t="n"/>
      <c r="D9" s="54" t="n"/>
      <c r="E9" s="54" t="n"/>
      <c r="F9" s="54" t="n"/>
      <c r="G9" s="54" t="n"/>
      <c r="H9" s="54" t="n"/>
      <c r="I9" s="54" t="n"/>
      <c r="J9" s="54" t="n"/>
      <c r="K9" s="54" t="n"/>
      <c r="L9" s="54" t="n"/>
      <c r="M9" s="54" t="n"/>
      <c r="N9" s="54" t="n"/>
    </row>
    <row r="10">
      <c r="A10" s="54" t="n"/>
      <c r="B10" s="54" t="n"/>
      <c r="C10" s="54" t="n"/>
      <c r="D10" s="54" t="n"/>
      <c r="E10" s="54" t="n"/>
      <c r="F10" s="54" t="n"/>
      <c r="G10" s="54" t="n"/>
      <c r="H10" s="54" t="n"/>
      <c r="I10" s="54" t="n"/>
      <c r="J10" s="54" t="n"/>
      <c r="K10" s="54" t="n"/>
      <c r="L10" s="54" t="n"/>
      <c r="M10" s="54" t="n"/>
      <c r="N10" s="54" t="n"/>
    </row>
    <row r="11">
      <c r="A11" s="54" t="n"/>
      <c r="B11" s="54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4" t="n"/>
      <c r="M11" s="54" t="n"/>
      <c r="N11" s="54" t="n"/>
    </row>
    <row r="12">
      <c r="A12" s="54" t="n"/>
      <c r="B12" s="54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4" t="n"/>
      <c r="M12" s="54" t="n"/>
      <c r="N12" s="54" t="n"/>
    </row>
    <row r="13">
      <c r="A13" s="54" t="n"/>
      <c r="B13" s="54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4" t="n"/>
      <c r="M13" s="54" t="n"/>
      <c r="N13" s="54" t="n"/>
    </row>
    <row r="14">
      <c r="A14" s="54" t="n"/>
      <c r="B14" s="54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4" t="n"/>
      <c r="M14" s="54" t="n"/>
      <c r="N14" s="54" t="n"/>
    </row>
    <row r="15">
      <c r="A15" s="54" t="n"/>
      <c r="B15" s="54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4" t="n"/>
      <c r="M15" s="54" t="n"/>
      <c r="N15" s="54" t="n"/>
    </row>
    <row r="16">
      <c r="A16" s="54" t="n"/>
      <c r="B16" s="54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4" t="n"/>
      <c r="M16" s="54" t="n"/>
      <c r="N16" s="54" t="n"/>
    </row>
    <row r="17">
      <c r="A17" s="54" t="n"/>
      <c r="B17" s="54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4" t="n"/>
      <c r="M17" s="54" t="n"/>
      <c r="N17" s="54" t="n"/>
    </row>
    <row r="18">
      <c r="A18" s="54" t="n"/>
      <c r="B18" s="54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4" t="n"/>
      <c r="M18" s="54" t="n"/>
      <c r="N18" s="54" t="n"/>
    </row>
    <row r="19">
      <c r="A19" s="54" t="n"/>
      <c r="B19" s="54" t="n"/>
      <c r="C19" s="54" t="n"/>
      <c r="D19" s="54" t="n"/>
      <c r="E19" s="54" t="n"/>
      <c r="F19" s="54" t="n"/>
      <c r="G19" s="54" t="n"/>
      <c r="H19" s="54" t="n"/>
      <c r="I19" s="54" t="n"/>
      <c r="J19" s="54" t="n"/>
      <c r="K19" s="54" t="n"/>
      <c r="L19" s="54" t="n"/>
      <c r="M19" s="54" t="n"/>
      <c r="N19" s="54" t="n"/>
    </row>
    <row r="20">
      <c r="A20" s="54" t="n"/>
      <c r="B20" s="54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4" t="n"/>
      <c r="M20" s="54" t="n"/>
      <c r="N20" s="54" t="n"/>
    </row>
    <row r="21">
      <c r="A21" s="54" t="n"/>
      <c r="B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4" t="n"/>
      <c r="M21" s="54" t="n"/>
      <c r="N21" s="54" t="n"/>
    </row>
    <row r="22">
      <c r="A22" s="54" t="n"/>
      <c r="B22" s="54" t="n"/>
      <c r="C22" s="54" t="n"/>
      <c r="D22" s="54" t="n"/>
      <c r="E22" s="54" t="n"/>
      <c r="F22" s="54" t="n"/>
      <c r="G22" s="54" t="n"/>
      <c r="H22" s="54" t="n"/>
      <c r="I22" s="54" t="n"/>
      <c r="J22" s="54" t="n"/>
      <c r="K22" s="54" t="n"/>
      <c r="L22" s="54" t="n"/>
      <c r="M22" s="54" t="n"/>
      <c r="N22" s="54" t="n"/>
    </row>
    <row r="23">
      <c r="A23" s="54" t="n"/>
      <c r="B23" s="54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4" t="n"/>
      <c r="M23" s="54" t="n"/>
      <c r="N23" s="54" t="n"/>
    </row>
    <row r="24">
      <c r="A24" s="54" t="n"/>
      <c r="B24" s="54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4" t="n"/>
      <c r="M24" s="54" t="n"/>
      <c r="N24" s="54" t="n"/>
    </row>
    <row r="25">
      <c r="A25" s="54" t="n"/>
      <c r="B25" s="54" t="n"/>
      <c r="C25" s="54" t="n"/>
      <c r="D25" s="54" t="n"/>
      <c r="E25" s="54" t="n"/>
      <c r="F25" s="54" t="n"/>
      <c r="G25" s="54" t="n"/>
      <c r="H25" s="54" t="n"/>
      <c r="I25" s="54" t="n"/>
      <c r="J25" s="54" t="n"/>
      <c r="K25" s="54" t="n"/>
      <c r="L25" s="54" t="n"/>
      <c r="M25" s="54" t="n"/>
      <c r="N25" s="54" t="n"/>
    </row>
    <row r="26">
      <c r="A26" s="54" t="n"/>
      <c r="B26" s="54" t="n"/>
      <c r="C26" s="54" t="n"/>
      <c r="D26" s="54" t="n"/>
      <c r="E26" s="54" t="n"/>
      <c r="F26" s="54" t="n"/>
      <c r="G26" s="54" t="n"/>
      <c r="H26" s="54" t="n"/>
      <c r="I26" s="54" t="n"/>
      <c r="J26" s="54" t="n"/>
      <c r="K26" s="54" t="n"/>
      <c r="L26" s="54" t="n"/>
      <c r="M26" s="54" t="n"/>
      <c r="N26" s="54" t="n"/>
    </row>
    <row r="27">
      <c r="A27" s="54" t="n"/>
      <c r="B27" s="54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4" t="n"/>
      <c r="M27" s="54" t="n"/>
      <c r="N27" s="54" t="n"/>
    </row>
    <row r="28">
      <c r="A28" s="54" t="n"/>
      <c r="B28" s="54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4" t="n"/>
      <c r="M28" s="54" t="n"/>
      <c r="N28" s="54" t="n"/>
    </row>
    <row r="29">
      <c r="A29" s="54" t="n"/>
      <c r="B29" s="54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4" t="n"/>
      <c r="M29" s="54" t="n"/>
      <c r="N29" s="54" t="n"/>
    </row>
    <row r="30">
      <c r="A30" s="54" t="n"/>
      <c r="B30" s="54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4" t="n"/>
      <c r="M30" s="54" t="n"/>
      <c r="N30" s="54" t="n"/>
    </row>
    <row r="31">
      <c r="A31" s="54" t="n"/>
      <c r="B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4" t="n"/>
      <c r="M31" s="54" t="n"/>
      <c r="N31" s="54" t="n"/>
    </row>
    <row r="32">
      <c r="A32" s="54" t="n"/>
      <c r="B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4" t="n"/>
      <c r="M32" s="54" t="n"/>
      <c r="N32" s="54" t="n"/>
    </row>
    <row r="33">
      <c r="A33" s="54" t="n"/>
      <c r="B33" s="54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4" t="n"/>
      <c r="M33" s="54" t="n"/>
      <c r="N33" s="54" t="n"/>
    </row>
    <row r="34">
      <c r="A34" s="54" t="n"/>
      <c r="B34" s="54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4" t="n"/>
      <c r="M34" s="54" t="n"/>
      <c r="N34" s="54" t="n"/>
    </row>
    <row r="35">
      <c r="A35" s="54" t="n"/>
      <c r="B35" s="54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4" t="n"/>
      <c r="M35" s="54" t="n"/>
      <c r="N35" s="54" t="n"/>
    </row>
    <row r="36">
      <c r="A36" s="54" t="n"/>
      <c r="B36" s="54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4" t="n"/>
      <c r="M36" s="54" t="n"/>
      <c r="N36" s="54" t="n"/>
    </row>
    <row r="37">
      <c r="A37" s="55" t="n"/>
      <c r="B37" s="54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4" t="n"/>
      <c r="M37" s="54" t="n"/>
      <c r="N37" s="54" t="n"/>
    </row>
    <row r="38">
      <c r="A38" s="54" t="inlineStr">
        <is>
          <t>Petrol = in-state; light slate = out-of-state; mist-blue bar = the average of all 200 schools. Hunter returns about twice the average in-state; NYU charges one rate to everyone, so its two bars match.</t>
        </is>
      </c>
      <c r="B38" s="54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4" t="n"/>
      <c r="M38" s="54" t="n"/>
      <c r="N38" s="54" t="n"/>
    </row>
    <row r="39">
      <c r="A39" s="54" t="n"/>
      <c r="B39" s="54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4" t="n"/>
      <c r="M39" s="54" t="n"/>
      <c r="N39" s="54" t="n"/>
    </row>
    <row r="40">
      <c r="A40" s="54" t="n"/>
      <c r="B40" s="54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4" t="n"/>
      <c r="M40" s="54" t="n"/>
      <c r="N40" s="54" t="n"/>
    </row>
    <row r="41">
      <c r="A41" s="54" t="n"/>
      <c r="B41" s="54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4" t="n"/>
      <c r="M41" s="54" t="n"/>
      <c r="N41" s="54" t="n"/>
    </row>
    <row r="42">
      <c r="A42" s="54" t="n"/>
      <c r="B42" s="54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4" t="n"/>
      <c r="M42" s="54" t="n"/>
      <c r="N42" s="54" t="n"/>
    </row>
    <row r="43">
      <c r="A43" s="54" t="n"/>
      <c r="B43" s="54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4" t="n"/>
      <c r="M43" s="54" t="n"/>
      <c r="N43" s="54" t="n"/>
    </row>
    <row r="44">
      <c r="A44" s="54" t="n"/>
      <c r="B44" s="54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4" t="n"/>
      <c r="M44" s="54" t="n"/>
      <c r="N44" s="54" t="n"/>
    </row>
    <row r="45">
      <c r="A45" s="54" t="n"/>
      <c r="B45" s="54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4" t="n"/>
      <c r="M45" s="54" t="n"/>
      <c r="N45" s="54" t="n"/>
    </row>
    <row r="46">
      <c r="A46" s="54" t="n"/>
      <c r="B46" s="54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4" t="n"/>
      <c r="M46" s="54" t="n"/>
      <c r="N46" s="54" t="n"/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0F4C5C"/>
    <outlinePr summaryBelow="1" summaryRight="1"/>
    <pageSetUpPr/>
  </sheetPr>
  <dimension ref="A1:N4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  <col width="24" customWidth="1" min="4" max="4"/>
  </cols>
  <sheetData>
    <row r="1">
      <c r="A1" s="53" t="inlineStr">
        <is>
          <t>Debt burden: how heavy is student debt relative to earnings?</t>
        </is>
      </c>
      <c r="B1" s="54" t="n"/>
      <c r="C1" s="54" t="n"/>
      <c r="D1" s="54" t="n"/>
      <c r="E1" s="54" t="n"/>
      <c r="F1" s="54" t="n"/>
      <c r="G1" s="54" t="n"/>
      <c r="H1" s="54" t="n"/>
      <c r="I1" s="54" t="n"/>
      <c r="J1" s="54" t="n"/>
      <c r="K1" s="54" t="n"/>
      <c r="L1" s="54" t="n"/>
      <c r="M1" s="54" t="n"/>
      <c r="N1" s="54" t="n"/>
    </row>
    <row r="2">
      <c r="A2" s="55" t="inlineStr">
        <is>
          <t>Median student debt as a percent of 10-yr median earnings. Lower is better. Compared with the average of all 200 schools.</t>
        </is>
      </c>
      <c r="B2" s="54" t="n"/>
      <c r="C2" s="54" t="n"/>
      <c r="D2" s="54" t="n"/>
      <c r="E2" s="54" t="n"/>
      <c r="F2" s="54" t="n"/>
      <c r="G2" s="54" t="n"/>
      <c r="H2" s="54" t="n"/>
      <c r="I2" s="54" t="n"/>
      <c r="J2" s="54" t="n"/>
      <c r="K2" s="54" t="n"/>
      <c r="L2" s="54" t="n"/>
      <c r="M2" s="54" t="n"/>
      <c r="N2" s="54" t="n"/>
    </row>
    <row r="3">
      <c r="A3" s="54" t="n"/>
      <c r="B3" s="54" t="n"/>
      <c r="C3" s="54" t="n"/>
      <c r="D3" s="54" t="n"/>
      <c r="E3" s="54" t="n"/>
      <c r="F3" s="54" t="n"/>
      <c r="G3" s="54" t="n"/>
      <c r="H3" s="54" t="n"/>
      <c r="I3" s="54" t="n"/>
      <c r="J3" s="54" t="n"/>
      <c r="K3" s="54" t="n"/>
      <c r="L3" s="54" t="n"/>
      <c r="M3" s="54" t="n"/>
      <c r="N3" s="54" t="n"/>
    </row>
    <row r="4" ht="38" customHeight="1">
      <c r="A4" s="56" t="inlineStr">
        <is>
          <t>School</t>
        </is>
      </c>
      <c r="B4" s="56" t="inlineStr">
        <is>
          <t>Median debt ($)</t>
        </is>
      </c>
      <c r="C4" s="56" t="inlineStr">
        <is>
          <t>10-yr median earnings ($)</t>
        </is>
      </c>
      <c r="D4" s="56" t="inlineStr">
        <is>
          <t>Debt as % of earnings</t>
        </is>
      </c>
      <c r="E4" s="54" t="n"/>
      <c r="F4" s="54" t="n"/>
      <c r="G4" s="54" t="n"/>
      <c r="H4" s="54" t="n"/>
      <c r="I4" s="54" t="n"/>
      <c r="J4" s="54" t="n"/>
      <c r="K4" s="54" t="n"/>
      <c r="L4" s="54" t="n"/>
      <c r="M4" s="54" t="n"/>
      <c r="N4" s="54" t="n"/>
    </row>
    <row r="5">
      <c r="A5" s="58" t="inlineStr">
        <is>
          <t>Rutgers University-Newark</t>
        </is>
      </c>
      <c r="B5" s="60" t="n">
        <v>21500</v>
      </c>
      <c r="C5" s="60" t="n">
        <v>74479</v>
      </c>
      <c r="D5" s="65" t="n">
        <v>28.9</v>
      </c>
      <c r="E5" s="54" t="n"/>
      <c r="F5" s="54" t="n"/>
      <c r="G5" s="54" t="n"/>
      <c r="H5" s="54" t="n"/>
      <c r="I5" s="54" t="n"/>
      <c r="J5" s="54" t="n"/>
      <c r="K5" s="54" t="n"/>
      <c r="L5" s="54" t="n"/>
      <c r="M5" s="54" t="n"/>
      <c r="N5" s="54" t="n"/>
    </row>
    <row r="6">
      <c r="A6" s="58" t="inlineStr">
        <is>
          <t>CUNY Hunter College</t>
        </is>
      </c>
      <c r="B6" s="60" t="n">
        <v>11000</v>
      </c>
      <c r="C6" s="60" t="n">
        <v>63163</v>
      </c>
      <c r="D6" s="65" t="n">
        <v>17.4</v>
      </c>
      <c r="E6" s="54" t="n"/>
      <c r="F6" s="54" t="n"/>
      <c r="G6" s="54" t="n"/>
      <c r="H6" s="54" t="n"/>
      <c r="I6" s="54" t="n"/>
      <c r="J6" s="54" t="n"/>
      <c r="K6" s="54" t="n"/>
      <c r="L6" s="54" t="n"/>
      <c r="M6" s="54" t="n"/>
      <c r="N6" s="54" t="n"/>
    </row>
    <row r="7">
      <c r="A7" s="58" t="inlineStr">
        <is>
          <t>New York University</t>
        </is>
      </c>
      <c r="B7" s="60" t="n">
        <v>20500</v>
      </c>
      <c r="C7" s="60" t="n">
        <v>82509</v>
      </c>
      <c r="D7" s="65" t="n">
        <v>24.8</v>
      </c>
      <c r="E7" s="54" t="n"/>
      <c r="F7" s="54" t="n"/>
      <c r="G7" s="54" t="n"/>
      <c r="H7" s="54" t="n"/>
      <c r="I7" s="54" t="n"/>
      <c r="J7" s="54" t="n"/>
      <c r="K7" s="54" t="n"/>
      <c r="L7" s="54" t="n"/>
      <c r="M7" s="54" t="n"/>
      <c r="N7" s="54" t="n"/>
    </row>
    <row r="8">
      <c r="A8" s="64" t="inlineStr">
        <is>
          <t>All 200 schools (average)</t>
        </is>
      </c>
      <c r="B8" s="60" t="n">
        <v>19825</v>
      </c>
      <c r="C8" s="60" t="n">
        <v>70114</v>
      </c>
      <c r="D8" s="65" t="n">
        <v>30.3</v>
      </c>
      <c r="E8" s="54" t="n"/>
      <c r="F8" s="54" t="n"/>
      <c r="G8" s="54" t="n"/>
      <c r="H8" s="54" t="n"/>
      <c r="I8" s="54" t="n"/>
      <c r="J8" s="54" t="n"/>
      <c r="K8" s="54" t="n"/>
      <c r="L8" s="54" t="n"/>
      <c r="M8" s="54" t="n"/>
      <c r="N8" s="54" t="n"/>
    </row>
    <row r="9">
      <c r="A9" s="54" t="n"/>
      <c r="B9" s="54" t="n"/>
      <c r="C9" s="54" t="n"/>
      <c r="D9" s="54" t="n"/>
      <c r="E9" s="54" t="n"/>
      <c r="F9" s="54" t="n"/>
      <c r="G9" s="54" t="n"/>
      <c r="H9" s="54" t="n"/>
      <c r="I9" s="54" t="n"/>
      <c r="J9" s="54" t="n"/>
      <c r="K9" s="54" t="n"/>
      <c r="L9" s="54" t="n"/>
      <c r="M9" s="54" t="n"/>
      <c r="N9" s="54" t="n"/>
    </row>
    <row r="10">
      <c r="A10" s="54" t="n"/>
      <c r="B10" s="54" t="n"/>
      <c r="C10" s="54" t="n"/>
      <c r="D10" s="54" t="n"/>
      <c r="E10" s="54" t="n"/>
      <c r="F10" s="54" t="n"/>
      <c r="G10" s="54" t="n"/>
      <c r="H10" s="54" t="n"/>
      <c r="I10" s="54" t="n"/>
      <c r="J10" s="54" t="n"/>
      <c r="K10" s="54" t="n"/>
      <c r="L10" s="54" t="n"/>
      <c r="M10" s="54" t="n"/>
      <c r="N10" s="54" t="n"/>
    </row>
    <row r="11">
      <c r="A11" s="54" t="n"/>
      <c r="B11" s="54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4" t="n"/>
      <c r="M11" s="54" t="n"/>
      <c r="N11" s="54" t="n"/>
    </row>
    <row r="12">
      <c r="A12" s="54" t="n"/>
      <c r="B12" s="54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4" t="n"/>
      <c r="M12" s="54" t="n"/>
      <c r="N12" s="54" t="n"/>
    </row>
    <row r="13">
      <c r="A13" s="54" t="n"/>
      <c r="B13" s="54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4" t="n"/>
      <c r="M13" s="54" t="n"/>
      <c r="N13" s="54" t="n"/>
    </row>
    <row r="14">
      <c r="A14" s="54" t="n"/>
      <c r="B14" s="54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4" t="n"/>
      <c r="M14" s="54" t="n"/>
      <c r="N14" s="54" t="n"/>
    </row>
    <row r="15">
      <c r="A15" s="54" t="n"/>
      <c r="B15" s="54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4" t="n"/>
      <c r="M15" s="54" t="n"/>
      <c r="N15" s="54" t="n"/>
    </row>
    <row r="16">
      <c r="A16" s="54" t="n"/>
      <c r="B16" s="54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4" t="n"/>
      <c r="M16" s="54" t="n"/>
      <c r="N16" s="54" t="n"/>
    </row>
    <row r="17">
      <c r="A17" s="54" t="n"/>
      <c r="B17" s="54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4" t="n"/>
      <c r="M17" s="54" t="n"/>
      <c r="N17" s="54" t="n"/>
    </row>
    <row r="18">
      <c r="A18" s="54" t="n"/>
      <c r="B18" s="54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4" t="n"/>
      <c r="M18" s="54" t="n"/>
      <c r="N18" s="54" t="n"/>
    </row>
    <row r="19">
      <c r="A19" s="54" t="n"/>
      <c r="B19" s="54" t="n"/>
      <c r="C19" s="54" t="n"/>
      <c r="D19" s="54" t="n"/>
      <c r="E19" s="54" t="n"/>
      <c r="F19" s="54" t="n"/>
      <c r="G19" s="54" t="n"/>
      <c r="H19" s="54" t="n"/>
      <c r="I19" s="54" t="n"/>
      <c r="J19" s="54" t="n"/>
      <c r="K19" s="54" t="n"/>
      <c r="L19" s="54" t="n"/>
      <c r="M19" s="54" t="n"/>
      <c r="N19" s="54" t="n"/>
    </row>
    <row r="20">
      <c r="A20" s="54" t="n"/>
      <c r="B20" s="54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4" t="n"/>
      <c r="M20" s="54" t="n"/>
      <c r="N20" s="54" t="n"/>
    </row>
    <row r="21">
      <c r="A21" s="54" t="n"/>
      <c r="B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4" t="n"/>
      <c r="M21" s="54" t="n"/>
      <c r="N21" s="54" t="n"/>
    </row>
    <row r="22">
      <c r="A22" s="54" t="n"/>
      <c r="B22" s="54" t="n"/>
      <c r="C22" s="54" t="n"/>
      <c r="D22" s="54" t="n"/>
      <c r="E22" s="54" t="n"/>
      <c r="F22" s="54" t="n"/>
      <c r="G22" s="54" t="n"/>
      <c r="H22" s="54" t="n"/>
      <c r="I22" s="54" t="n"/>
      <c r="J22" s="54" t="n"/>
      <c r="K22" s="54" t="n"/>
      <c r="L22" s="54" t="n"/>
      <c r="M22" s="54" t="n"/>
      <c r="N22" s="54" t="n"/>
    </row>
    <row r="23">
      <c r="A23" s="54" t="n"/>
      <c r="B23" s="54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4" t="n"/>
      <c r="M23" s="54" t="n"/>
      <c r="N23" s="54" t="n"/>
    </row>
    <row r="24">
      <c r="A24" s="54" t="n"/>
      <c r="B24" s="54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4" t="n"/>
      <c r="M24" s="54" t="n"/>
      <c r="N24" s="54" t="n"/>
    </row>
    <row r="25">
      <c r="A25" s="54" t="n"/>
      <c r="B25" s="54" t="n"/>
      <c r="C25" s="54" t="n"/>
      <c r="D25" s="54" t="n"/>
      <c r="E25" s="54" t="n"/>
      <c r="F25" s="54" t="n"/>
      <c r="G25" s="54" t="n"/>
      <c r="H25" s="54" t="n"/>
      <c r="I25" s="54" t="n"/>
      <c r="J25" s="54" t="n"/>
      <c r="K25" s="54" t="n"/>
      <c r="L25" s="54" t="n"/>
      <c r="M25" s="54" t="n"/>
      <c r="N25" s="54" t="n"/>
    </row>
    <row r="26">
      <c r="A26" s="54" t="n"/>
      <c r="B26" s="54" t="n"/>
      <c r="C26" s="54" t="n"/>
      <c r="D26" s="54" t="n"/>
      <c r="E26" s="54" t="n"/>
      <c r="F26" s="54" t="n"/>
      <c r="G26" s="54" t="n"/>
      <c r="H26" s="54" t="n"/>
      <c r="I26" s="54" t="n"/>
      <c r="J26" s="54" t="n"/>
      <c r="K26" s="54" t="n"/>
      <c r="L26" s="54" t="n"/>
      <c r="M26" s="54" t="n"/>
      <c r="N26" s="54" t="n"/>
    </row>
    <row r="27">
      <c r="A27" s="54" t="n"/>
      <c r="B27" s="54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4" t="n"/>
      <c r="M27" s="54" t="n"/>
      <c r="N27" s="54" t="n"/>
    </row>
    <row r="28">
      <c r="A28" s="54" t="n"/>
      <c r="B28" s="54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4" t="n"/>
      <c r="M28" s="54" t="n"/>
      <c r="N28" s="54" t="n"/>
    </row>
    <row r="29">
      <c r="A29" s="54" t="n"/>
      <c r="B29" s="54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4" t="n"/>
      <c r="M29" s="54" t="n"/>
      <c r="N29" s="54" t="n"/>
    </row>
    <row r="30">
      <c r="A30" s="54" t="n"/>
      <c r="B30" s="54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4" t="n"/>
      <c r="M30" s="54" t="n"/>
      <c r="N30" s="54" t="n"/>
    </row>
    <row r="31">
      <c r="A31" s="54" t="n"/>
      <c r="B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4" t="n"/>
      <c r="M31" s="54" t="n"/>
      <c r="N31" s="54" t="n"/>
    </row>
    <row r="32">
      <c r="A32" s="54" t="n"/>
      <c r="B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4" t="n"/>
      <c r="M32" s="54" t="n"/>
      <c r="N32" s="54" t="n"/>
    </row>
    <row r="33">
      <c r="A33" s="54" t="n"/>
      <c r="B33" s="54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4" t="n"/>
      <c r="M33" s="54" t="n"/>
      <c r="N33" s="54" t="n"/>
    </row>
    <row r="34">
      <c r="A34" s="54" t="n"/>
      <c r="B34" s="54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4" t="n"/>
      <c r="M34" s="54" t="n"/>
      <c r="N34" s="54" t="n"/>
    </row>
    <row r="35">
      <c r="A35" s="54" t="n"/>
      <c r="B35" s="54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4" t="n"/>
      <c r="M35" s="54" t="n"/>
      <c r="N35" s="54" t="n"/>
    </row>
    <row r="36">
      <c r="A36" s="54" t="n"/>
      <c r="B36" s="54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4" t="n"/>
      <c r="M36" s="54" t="n"/>
      <c r="N36" s="54" t="n"/>
    </row>
    <row r="37">
      <c r="A37" s="54" t="n"/>
      <c r="B37" s="54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4" t="n"/>
      <c r="M37" s="54" t="n"/>
      <c r="N37" s="54" t="n"/>
    </row>
    <row r="38">
      <c r="A38" s="55" t="inlineStr">
        <is>
          <t>Petrol = my schools; mist-blue = the 200-school average (30.3%). Lower is better: Hunter carries the lightest load (17.4%); Rutgers-Newark the heaviest (28.9%), even though its tuition is far below NYU's.</t>
        </is>
      </c>
      <c r="B38" s="54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4" t="n"/>
      <c r="M38" s="54" t="n"/>
      <c r="N38" s="54" t="n"/>
    </row>
    <row r="39">
      <c r="A39" s="54" t="n"/>
      <c r="B39" s="54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4" t="n"/>
      <c r="M39" s="54" t="n"/>
      <c r="N39" s="54" t="n"/>
    </row>
    <row r="40">
      <c r="A40" s="54" t="n"/>
      <c r="B40" s="54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4" t="n"/>
      <c r="M40" s="54" t="n"/>
      <c r="N40" s="54" t="n"/>
    </row>
    <row r="41">
      <c r="A41" s="54" t="n"/>
      <c r="B41" s="54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4" t="n"/>
      <c r="M41" s="54" t="n"/>
      <c r="N41" s="54" t="n"/>
    </row>
    <row r="42">
      <c r="A42" s="54" t="n"/>
      <c r="B42" s="54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4" t="n"/>
      <c r="M42" s="54" t="n"/>
      <c r="N42" s="54" t="n"/>
    </row>
    <row r="43">
      <c r="A43" s="54" t="n"/>
      <c r="B43" s="54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4" t="n"/>
      <c r="M43" s="54" t="n"/>
      <c r="N43" s="54" t="n"/>
    </row>
    <row r="44">
      <c r="A44" s="54" t="n"/>
      <c r="B44" s="54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4" t="n"/>
      <c r="M44" s="54" t="n"/>
      <c r="N44" s="54" t="n"/>
    </row>
    <row r="45">
      <c r="A45" s="54" t="n"/>
      <c r="B45" s="54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4" t="n"/>
      <c r="M45" s="54" t="n"/>
      <c r="N45" s="54" t="n"/>
    </row>
    <row r="46">
      <c r="A46" s="54" t="n"/>
      <c r="B46" s="54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4" t="n"/>
      <c r="M46" s="54" t="n"/>
      <c r="N46" s="54" t="n"/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5" customWidth="1" min="2" max="2"/>
    <col width="24" customWidth="1" min="3" max="3"/>
    <col width="22" customWidth="1" min="4" max="4"/>
    <col width="24" customWidth="1" min="5" max="5"/>
    <col width="22" customWidth="1" min="6" max="6"/>
    <col width="24" customWidth="1" min="7" max="7"/>
    <col width="22" customWidth="1" min="8" max="8"/>
  </cols>
  <sheetData>
    <row r="1">
      <c r="A1" s="7" t="inlineStr">
        <is>
          <t>Comparison to the average of all 200 schools in college-data.csv (simple mean per metric; blanks excluded)</t>
        </is>
      </c>
    </row>
    <row r="2">
      <c r="A2" t="inlineStr">
        <is>
          <t>Green = better than average, red = worse, grey = neutral / context metric (size, selectivity, state-level figures). ▲ above average, ▼ below. Rank columns: lower rank number is better.</t>
        </is>
      </c>
    </row>
    <row r="4" ht="34" customHeight="1">
      <c r="A4" s="1" t="inlineStr">
        <is>
          <t>Metric</t>
        </is>
      </c>
      <c r="B4" s="1" t="inlineStr">
        <is>
          <t>Dataset average</t>
        </is>
      </c>
      <c r="C4" s="1" t="inlineStr">
        <is>
          <t>Rutgers University-Newark</t>
        </is>
      </c>
      <c r="D4" s="1" t="inlineStr">
        <is>
          <t>vs avg</t>
        </is>
      </c>
      <c r="E4" s="1" t="inlineStr">
        <is>
          <t>CUNY Hunter College</t>
        </is>
      </c>
      <c r="F4" s="1" t="inlineStr">
        <is>
          <t>vs avg</t>
        </is>
      </c>
      <c r="G4" s="1" t="inlineStr">
        <is>
          <t>New York University</t>
        </is>
      </c>
      <c r="H4" s="1" t="inlineStr">
        <is>
          <t>vs avg</t>
        </is>
      </c>
    </row>
    <row r="5">
      <c r="A5" s="11" t="inlineStr">
        <is>
          <t>Admission Rate (%)</t>
        </is>
      </c>
      <c r="B5" t="n">
        <v>51.53</v>
      </c>
      <c r="C5" s="12" t="n">
        <v>71.40000000000001</v>
      </c>
      <c r="D5" s="13" t="inlineStr">
        <is>
          <t>▲ 19.87 (+39%)</t>
        </is>
      </c>
      <c r="E5" s="12" t="n">
        <v>53.8</v>
      </c>
      <c r="F5" s="13" t="inlineStr">
        <is>
          <t>▲ 2.27 (+4%)</t>
        </is>
      </c>
      <c r="G5" s="12" t="n">
        <v>9.199999999999999</v>
      </c>
      <c r="H5" s="13" t="inlineStr">
        <is>
          <t>▼ 42.33 (-82%)</t>
        </is>
      </c>
    </row>
    <row r="6">
      <c r="A6" s="11" t="inlineStr">
        <is>
          <t>Average SAT</t>
        </is>
      </c>
      <c r="B6" t="n">
        <v>1295.07</v>
      </c>
      <c r="C6" t="inlineStr">
        <is>
          <t>n/a</t>
        </is>
      </c>
      <c r="E6" s="14" t="n">
        <v>1280</v>
      </c>
      <c r="F6" s="15" t="inlineStr">
        <is>
          <t>▼ 15.07 (-1%)</t>
        </is>
      </c>
      <c r="G6" s="16" t="n">
        <v>1520</v>
      </c>
      <c r="H6" s="17" t="inlineStr">
        <is>
          <t>▲ 224.93 (+17%)</t>
        </is>
      </c>
    </row>
    <row r="7">
      <c r="A7" s="11" t="inlineStr">
        <is>
          <t>Student Size</t>
        </is>
      </c>
      <c r="B7" t="n">
        <v>15894.96</v>
      </c>
      <c r="C7" s="18" t="n">
        <v>7709</v>
      </c>
      <c r="D7" s="13" t="inlineStr">
        <is>
          <t>▼ 8,185.97 (-52%)</t>
        </is>
      </c>
      <c r="E7" s="18" t="n">
        <v>16289</v>
      </c>
      <c r="F7" s="13" t="inlineStr">
        <is>
          <t>▲ 394.03 (+2%)</t>
        </is>
      </c>
      <c r="G7" s="18" t="n">
        <v>28663</v>
      </c>
      <c r="H7" s="13" t="inlineStr">
        <is>
          <t>▲ 12,768.03 (+80%)</t>
        </is>
      </c>
    </row>
    <row r="8">
      <c r="A8" s="11" t="inlineStr">
        <is>
          <t>In-State Tuition ($)</t>
        </is>
      </c>
      <c r="B8" t="n">
        <v>27815.85</v>
      </c>
      <c r="C8" s="16" t="n">
        <v>17250</v>
      </c>
      <c r="D8" s="17" t="inlineStr">
        <is>
          <t>▼ 10,565.85 (-38%)</t>
        </is>
      </c>
      <c r="E8" s="16" t="n">
        <v>7382</v>
      </c>
      <c r="F8" s="17" t="inlineStr">
        <is>
          <t>▼ 20,433.85 (-73%)</t>
        </is>
      </c>
      <c r="G8" s="14" t="n">
        <v>62796</v>
      </c>
      <c r="H8" s="15" t="inlineStr">
        <is>
          <t>▲ 34,980.15 (+126%)</t>
        </is>
      </c>
    </row>
    <row r="9">
      <c r="A9" s="11" t="inlineStr">
        <is>
          <t>Out-of-State Tuition ($)</t>
        </is>
      </c>
      <c r="B9" t="n">
        <v>38981.58</v>
      </c>
      <c r="C9" s="16" t="n">
        <v>36762</v>
      </c>
      <c r="D9" s="17" t="inlineStr">
        <is>
          <t>▼ 2,219.58 (-6%)</t>
        </is>
      </c>
      <c r="E9" s="16" t="n">
        <v>15332</v>
      </c>
      <c r="F9" s="17" t="inlineStr">
        <is>
          <t>▼ 23,649.58 (-61%)</t>
        </is>
      </c>
      <c r="G9" s="14" t="n">
        <v>62796</v>
      </c>
      <c r="H9" s="15" t="inlineStr">
        <is>
          <t>▲ 23,814.42 (+61%)</t>
        </is>
      </c>
    </row>
    <row r="10">
      <c r="A10" s="11" t="inlineStr">
        <is>
          <t>Median Earnings 10yr ($)</t>
        </is>
      </c>
      <c r="B10" t="n">
        <v>70114</v>
      </c>
      <c r="C10" s="16" t="n">
        <v>74479</v>
      </c>
      <c r="D10" s="17" t="inlineStr">
        <is>
          <t>▲ 4,365 (+6%)</t>
        </is>
      </c>
      <c r="E10" s="14" t="n">
        <v>63163</v>
      </c>
      <c r="F10" s="15" t="inlineStr">
        <is>
          <t>▼ 6,951 (-10%)</t>
        </is>
      </c>
      <c r="G10" s="16" t="n">
        <v>82509</v>
      </c>
      <c r="H10" s="17" t="inlineStr">
        <is>
          <t>▲ 12,395 (+18%)</t>
        </is>
      </c>
    </row>
    <row r="11">
      <c r="A11" s="11" t="inlineStr">
        <is>
          <t>Completion Rate (%)</t>
        </is>
      </c>
      <c r="B11" t="n">
        <v>72.45</v>
      </c>
      <c r="C11" s="19" t="n">
        <v>65.7</v>
      </c>
      <c r="D11" s="15" t="inlineStr">
        <is>
          <t>▼ 6.75 (-9%)</t>
        </is>
      </c>
      <c r="E11" s="19" t="n">
        <v>58.8</v>
      </c>
      <c r="F11" s="15" t="inlineStr">
        <is>
          <t>▼ 13.65 (-19%)</t>
        </is>
      </c>
      <c r="G11" s="20" t="n">
        <v>88</v>
      </c>
      <c r="H11" s="17" t="inlineStr">
        <is>
          <t>▲ 15.55 (+21%)</t>
        </is>
      </c>
    </row>
    <row r="12">
      <c r="A12" s="11" t="inlineStr">
        <is>
          <t>Median Debt ($)</t>
        </is>
      </c>
      <c r="B12" t="n">
        <v>19824.92</v>
      </c>
      <c r="C12" s="14" t="n">
        <v>21500</v>
      </c>
      <c r="D12" s="15" t="inlineStr">
        <is>
          <t>▲ 1,675.08 (+8%)</t>
        </is>
      </c>
      <c r="E12" s="16" t="n">
        <v>11000</v>
      </c>
      <c r="F12" s="17" t="inlineStr">
        <is>
          <t>▼ 8,824.92 (-45%)</t>
        </is>
      </c>
      <c r="G12" s="14" t="n">
        <v>20500</v>
      </c>
      <c r="H12" s="15" t="inlineStr">
        <is>
          <t>▲ 675.08 (+3%)</t>
        </is>
      </c>
    </row>
    <row r="13">
      <c r="A13" s="11" t="inlineStr">
        <is>
          <t>Nobel Prizes</t>
        </is>
      </c>
      <c r="B13" t="n">
        <v>2.56</v>
      </c>
      <c r="C13" s="19" t="n">
        <v>0</v>
      </c>
      <c r="D13" s="15" t="inlineStr">
        <is>
          <t>▼ 2.56 (-100%)</t>
        </is>
      </c>
      <c r="E13" s="19" t="n">
        <v>0</v>
      </c>
      <c r="F13" s="15" t="inlineStr">
        <is>
          <t>▼ 2.56 (-100%)</t>
        </is>
      </c>
      <c r="G13" s="19" t="n">
        <v>2</v>
      </c>
      <c r="H13" s="15" t="inlineStr">
        <is>
          <t>▼ 0.56 (-22%)</t>
        </is>
      </c>
    </row>
    <row r="14">
      <c r="A14" s="11" t="inlineStr">
        <is>
          <t>State HS Earnings ($)</t>
        </is>
      </c>
      <c r="B14" t="n">
        <v>39041.48</v>
      </c>
      <c r="C14" s="18" t="n">
        <v>41528</v>
      </c>
      <c r="D14" s="13" t="inlineStr">
        <is>
          <t>▲ 2,486.52 (+6%)</t>
        </is>
      </c>
      <c r="E14" s="18" t="n">
        <v>39771</v>
      </c>
      <c r="F14" s="13" t="inlineStr">
        <is>
          <t>▲ 729.52 (+2%)</t>
        </is>
      </c>
      <c r="G14" s="18" t="n">
        <v>39771</v>
      </c>
      <c r="H14" s="13" t="inlineStr">
        <is>
          <t>▲ 729.52 (+2%)</t>
        </is>
      </c>
    </row>
    <row r="15">
      <c r="A15" s="11" t="inlineStr">
        <is>
          <t>State Bachelor's Earnings ($)</t>
        </is>
      </c>
      <c r="B15" t="n">
        <v>68800.67</v>
      </c>
      <c r="C15" s="18" t="n">
        <v>80114</v>
      </c>
      <c r="D15" s="13" t="inlineStr">
        <is>
          <t>▲ 11,313.33 (+16%)</t>
        </is>
      </c>
      <c r="E15" s="18" t="n">
        <v>74504</v>
      </c>
      <c r="F15" s="13" t="inlineStr">
        <is>
          <t>▲ 5,703.33 (+8%)</t>
        </is>
      </c>
      <c r="G15" s="18" t="n">
        <v>74504</v>
      </c>
      <c r="H15" s="13" t="inlineStr">
        <is>
          <t>▲ 5,703.33 (+8%)</t>
        </is>
      </c>
    </row>
    <row r="16">
      <c r="A16" s="11" t="inlineStr">
        <is>
          <t>State College Premium ($)</t>
        </is>
      </c>
      <c r="B16" t="n">
        <v>29759.19</v>
      </c>
      <c r="C16" s="18" t="n">
        <v>38586</v>
      </c>
      <c r="D16" s="13" t="inlineStr">
        <is>
          <t>▲ 8,826.81 (+30%)</t>
        </is>
      </c>
      <c r="E16" s="18" t="n">
        <v>34733</v>
      </c>
      <c r="F16" s="13" t="inlineStr">
        <is>
          <t>▲ 4,973.81 (+17%)</t>
        </is>
      </c>
      <c r="G16" s="18" t="n">
        <v>34733</v>
      </c>
      <c r="H16" s="13" t="inlineStr">
        <is>
          <t>▲ 4,973.81 (+17%)</t>
        </is>
      </c>
    </row>
    <row r="17">
      <c r="A17" s="11" t="inlineStr">
        <is>
          <t>State Premium Ratio</t>
        </is>
      </c>
      <c r="B17" t="n">
        <v>1.76</v>
      </c>
      <c r="C17" s="12" t="n">
        <v>1.93</v>
      </c>
      <c r="D17" s="13" t="inlineStr">
        <is>
          <t>▲ 0.17 (+10%)</t>
        </is>
      </c>
      <c r="E17" s="12" t="n">
        <v>1.87</v>
      </c>
      <c r="F17" s="13" t="inlineStr">
        <is>
          <t>▲ 0.11 (+6%)</t>
        </is>
      </c>
      <c r="G17" s="12" t="n">
        <v>1.87</v>
      </c>
      <c r="H17" s="13" t="inlineStr">
        <is>
          <t>▲ 0.11 (+6%)</t>
        </is>
      </c>
    </row>
    <row r="18">
      <c r="A18" s="11" t="inlineStr">
        <is>
          <t>State Premium (%)</t>
        </is>
      </c>
      <c r="B18" t="n">
        <v>75.78</v>
      </c>
      <c r="C18" s="12" t="n">
        <v>93</v>
      </c>
      <c r="D18" s="13" t="inlineStr">
        <is>
          <t>▲ 17.22 (+23%)</t>
        </is>
      </c>
      <c r="E18" s="12" t="n">
        <v>87</v>
      </c>
      <c r="F18" s="13" t="inlineStr">
        <is>
          <t>▲ 11.22 (+15%)</t>
        </is>
      </c>
      <c r="G18" s="12" t="n">
        <v>87</v>
      </c>
      <c r="H18" s="13" t="inlineStr">
        <is>
          <t>▲ 11.22 (+15%)</t>
        </is>
      </c>
    </row>
    <row r="19">
      <c r="A19" s="11" t="inlineStr">
        <is>
          <t>State Cost of Living Index</t>
        </is>
      </c>
      <c r="B19" t="n">
        <v>100.98</v>
      </c>
      <c r="C19" s="18" t="n">
        <v>108.8</v>
      </c>
      <c r="D19" s="13" t="inlineStr">
        <is>
          <t>▲ 7.82 (+8%)</t>
        </is>
      </c>
      <c r="E19" s="18" t="n">
        <v>107.9</v>
      </c>
      <c r="F19" s="13" t="inlineStr">
        <is>
          <t>▲ 6.92 (+7%)</t>
        </is>
      </c>
      <c r="G19" s="18" t="n">
        <v>107.9</v>
      </c>
      <c r="H19" s="13" t="inlineStr">
        <is>
          <t>▲ 6.92 (+7%)</t>
        </is>
      </c>
    </row>
    <row r="20">
      <c r="A20" s="11" t="inlineStr">
        <is>
          <t>Earnings vs State Bachelor's ($)</t>
        </is>
      </c>
      <c r="B20" t="n">
        <v>1313.33</v>
      </c>
      <c r="C20" s="14" t="n">
        <v>-5635</v>
      </c>
      <c r="D20" s="15" t="inlineStr">
        <is>
          <t>▼ 6,948.33 (-529%)</t>
        </is>
      </c>
      <c r="E20" s="14" t="n">
        <v>-11341</v>
      </c>
      <c r="F20" s="15" t="inlineStr">
        <is>
          <t>▼ 12,654.33 (-964%)</t>
        </is>
      </c>
      <c r="G20" s="16" t="n">
        <v>8005</v>
      </c>
      <c r="H20" s="17" t="inlineStr">
        <is>
          <t>▲ 6,691.67 (+510%)</t>
        </is>
      </c>
    </row>
    <row r="21">
      <c r="A21" s="11" t="inlineStr">
        <is>
          <t>Earnings / State Bachelor's</t>
        </is>
      </c>
      <c r="B21" t="n">
        <v>1.02</v>
      </c>
      <c r="C21" s="19" t="n">
        <v>0.93</v>
      </c>
      <c r="D21" s="15" t="inlineStr">
        <is>
          <t>▼ 0.09 (-9%)</t>
        </is>
      </c>
      <c r="E21" s="19" t="n">
        <v>0.848</v>
      </c>
      <c r="F21" s="15" t="inlineStr">
        <is>
          <t>▼ 0.18 (-17%)</t>
        </is>
      </c>
      <c r="G21" s="20" t="n">
        <v>1.107</v>
      </c>
      <c r="H21" s="17" t="inlineStr">
        <is>
          <t>▲ 0.08 (+8%)</t>
        </is>
      </c>
    </row>
    <row r="22">
      <c r="A22" s="11" t="inlineStr">
        <is>
          <t>COL-Adjusted Earnings ($)</t>
        </is>
      </c>
      <c r="B22" t="n">
        <v>69617.39</v>
      </c>
      <c r="C22" s="14" t="n">
        <v>68455</v>
      </c>
      <c r="D22" s="15" t="inlineStr">
        <is>
          <t>▼ 1,162.39 (-2%)</t>
        </is>
      </c>
      <c r="E22" s="14" t="n">
        <v>58538</v>
      </c>
      <c r="F22" s="15" t="inlineStr">
        <is>
          <t>▼ 11,079.39 (-16%)</t>
        </is>
      </c>
      <c r="G22" s="16" t="n">
        <v>76468</v>
      </c>
      <c r="H22" s="17" t="inlineStr">
        <is>
          <t>▲ 6,850.61 (+10%)</t>
        </is>
      </c>
    </row>
    <row r="23">
      <c r="A23" s="11" t="inlineStr">
        <is>
          <t>Earnings per Tuition-Dollar (Out-of-State, 4yr)</t>
        </is>
      </c>
      <c r="B23" t="n">
        <v>0.55</v>
      </c>
      <c r="C23" s="19" t="n">
        <v>0.506</v>
      </c>
      <c r="D23" s="15" t="inlineStr">
        <is>
          <t>▼ 0.05 (-8%)</t>
        </is>
      </c>
      <c r="E23" s="20" t="n">
        <v>1.03</v>
      </c>
      <c r="F23" s="17" t="inlineStr">
        <is>
          <t>▲ 0.48 (+86%)</t>
        </is>
      </c>
      <c r="G23" s="19" t="n">
        <v>0.328</v>
      </c>
      <c r="H23" s="15" t="inlineStr">
        <is>
          <t>▼ 0.22 (-41%)</t>
        </is>
      </c>
    </row>
    <row r="24">
      <c r="A24" s="11" t="inlineStr">
        <is>
          <t>Earnings per Tuition-Dollar (In-State, 4yr)</t>
        </is>
      </c>
      <c r="B24" t="n">
        <v>1.11</v>
      </c>
      <c r="C24" s="19" t="n">
        <v>1.079</v>
      </c>
      <c r="D24" s="15" t="inlineStr">
        <is>
          <t>▼ 0.03 (-3%)</t>
        </is>
      </c>
      <c r="E24" s="20" t="n">
        <v>2.139</v>
      </c>
      <c r="F24" s="17" t="inlineStr">
        <is>
          <t>▲ 1.03 (+92%)</t>
        </is>
      </c>
      <c r="G24" s="19" t="n">
        <v>0.328</v>
      </c>
      <c r="H24" s="15" t="inlineStr">
        <is>
          <t>▼ 0.79 (-71%)</t>
        </is>
      </c>
    </row>
    <row r="25">
      <c r="A25" s="11" t="inlineStr">
        <is>
          <t>Rank: Earnings / State Bachelor's (1=best)</t>
        </is>
      </c>
      <c r="B25" t="n">
        <v>100.36</v>
      </c>
      <c r="C25" s="14" t="n">
        <v>131</v>
      </c>
      <c r="D25" s="15" t="inlineStr">
        <is>
          <t>▲ 30.64 (+31%)</t>
        </is>
      </c>
      <c r="E25" s="14" t="n">
        <v>152</v>
      </c>
      <c r="F25" s="15" t="inlineStr">
        <is>
          <t>▲ 51.64 (+51%)</t>
        </is>
      </c>
      <c r="G25" s="16" t="n">
        <v>58</v>
      </c>
      <c r="H25" s="17" t="inlineStr">
        <is>
          <t>▼ 42.36 (-42%)</t>
        </is>
      </c>
    </row>
    <row r="26">
      <c r="A26" s="11" t="inlineStr">
        <is>
          <t>Rank: COL-Adjusted Earnings (1=best)</t>
        </is>
      </c>
      <c r="B26" t="n">
        <v>99.48999999999999</v>
      </c>
      <c r="C26" s="20" t="n">
        <v>96</v>
      </c>
      <c r="D26" s="17" t="inlineStr">
        <is>
          <t>▼ 3.49 (-4%)</t>
        </is>
      </c>
      <c r="E26" s="19" t="n">
        <v>143</v>
      </c>
      <c r="F26" s="15" t="inlineStr">
        <is>
          <t>▲ 43.51 (+44%)</t>
        </is>
      </c>
      <c r="G26" s="20" t="n">
        <v>60</v>
      </c>
      <c r="H26" s="17" t="inlineStr">
        <is>
          <t>▼ 39.49 (-40%)</t>
        </is>
      </c>
    </row>
    <row r="27">
      <c r="A27" s="11" t="inlineStr">
        <is>
          <t>Debt as % of 10yr Earnings</t>
        </is>
      </c>
      <c r="B27" t="n">
        <v>30.29</v>
      </c>
      <c r="C27" s="20" t="n">
        <v>28.9</v>
      </c>
      <c r="D27" s="17" t="inlineStr">
        <is>
          <t>▼ 1.39 (-5%)</t>
        </is>
      </c>
      <c r="E27" s="20" t="n">
        <v>17.4</v>
      </c>
      <c r="F27" s="17" t="inlineStr">
        <is>
          <t>▼ 12.89 (-43%)</t>
        </is>
      </c>
      <c r="G27" s="20" t="n">
        <v>24.8</v>
      </c>
      <c r="H27" s="17" t="inlineStr">
        <is>
          <t>▼ 5.49 (-18%)</t>
        </is>
      </c>
    </row>
    <row r="28">
      <c r="A28" s="11" t="inlineStr">
        <is>
          <t>Nobel Prizes per 10,000 Students</t>
        </is>
      </c>
      <c r="B28" t="n">
        <v>1.64</v>
      </c>
      <c r="C28" s="19" t="n">
        <v>0</v>
      </c>
      <c r="D28" s="15" t="inlineStr">
        <is>
          <t>▼ 1.64 (-100%)</t>
        </is>
      </c>
      <c r="E28" s="19" t="n">
        <v>0</v>
      </c>
      <c r="F28" s="15" t="inlineStr">
        <is>
          <t>▼ 1.64 (-100%)</t>
        </is>
      </c>
      <c r="G28" s="19" t="n">
        <v>0.7</v>
      </c>
      <c r="H28" s="15" t="inlineStr">
        <is>
          <t>▼ 0.94 (-57%)</t>
        </is>
      </c>
    </row>
    <row r="30">
      <c r="A30" s="11" t="inlineStr">
        <is>
          <t>Scoreboard (judged metrics only)</t>
        </is>
      </c>
    </row>
    <row r="31">
      <c r="A31" t="inlineStr">
        <is>
          <t>Rutgers University-Newark</t>
        </is>
      </c>
      <c r="C31" t="inlineStr">
        <is>
          <t>5 better than avg</t>
        </is>
      </c>
      <c r="E31" t="inlineStr">
        <is>
          <t>10 worse than avg</t>
        </is>
      </c>
    </row>
    <row r="32">
      <c r="A32" t="inlineStr">
        <is>
          <t>CUNY Hunter College</t>
        </is>
      </c>
      <c r="C32" t="inlineStr">
        <is>
          <t>6 better than avg</t>
        </is>
      </c>
      <c r="E32" t="inlineStr">
        <is>
          <t>10 worse than avg</t>
        </is>
      </c>
    </row>
    <row r="33">
      <c r="A33" t="inlineStr">
        <is>
          <t>New York University</t>
        </is>
      </c>
      <c r="C33" t="inlineStr">
        <is>
          <t>9 better than avg</t>
        </is>
      </c>
      <c r="E33" t="inlineStr">
        <is>
          <t>7 worse than avg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42" customWidth="1" min="1" max="1"/>
    <col width="24" customWidth="1" min="2" max="2"/>
    <col width="70" customWidth="1" min="3" max="3"/>
    <col width="50" customWidth="1" min="4" max="4"/>
    <col width="58" customWidth="1" min="5" max="5"/>
    <col width="38" customWidth="1" min="6" max="6"/>
  </cols>
  <sheetData>
    <row r="1">
      <c r="A1" s="7" t="inlineStr">
        <is>
          <t>Calculated columns — live Excel formulas on the Merged Data tab (columns U–AD, gold headers); the Formula column shows each one. Column AE lists the source for every row.</t>
        </is>
      </c>
    </row>
    <row r="3">
      <c r="A3" s="8" t="inlineStr">
        <is>
          <t>Column name</t>
        </is>
      </c>
      <c r="B3" s="8" t="inlineStr">
        <is>
          <t>Where it lives</t>
        </is>
      </c>
      <c r="C3" s="8" t="inlineStr">
        <is>
          <t>What it shows</t>
        </is>
      </c>
      <c r="D3" s="8" t="inlineStr">
        <is>
          <t>Logic</t>
        </is>
      </c>
      <c r="E3" s="8" t="inlineStr">
        <is>
          <t>Formula (in terms of source columns)</t>
        </is>
      </c>
      <c r="F3" s="8" t="inlineStr">
        <is>
          <t>Blank handling</t>
        </is>
      </c>
    </row>
    <row r="4">
      <c r="A4" s="9" t="inlineStr">
        <is>
          <t>Earnings vs State Bachelor's ($)</t>
        </is>
      </c>
      <c r="B4" s="9" t="inlineStr">
        <is>
          <t>Merged Data, column U</t>
        </is>
      </c>
      <c r="C4" s="9" t="inlineStr">
        <is>
          <t>Dollar gap between this school's graduates and a typical bachelor's holder in the same state. Positive = school beats its state.</t>
        </is>
      </c>
      <c r="D4" s="9" t="inlineStr">
        <is>
          <t>10yr median earnings − state median bachelor's earnings</t>
        </is>
      </c>
      <c r="E4" s="9" t="inlineStr">
        <is>
          <t>Median Earnings 10yr ($) − State Bachelor's Earnings ($)</t>
        </is>
      </c>
      <c r="F4" s="9" t="inlineStr">
        <is>
          <t>Never blank</t>
        </is>
      </c>
    </row>
    <row r="5">
      <c r="A5" s="9" t="inlineStr">
        <is>
          <t>Earnings / State Bachelor's</t>
        </is>
      </c>
      <c r="B5" s="9" t="inlineStr">
        <is>
          <t>Merged Data, column V</t>
        </is>
      </c>
      <c r="C5" s="9" t="inlineStr">
        <is>
          <t>Same comparison as a ratio. 1.00 = matches the state; 1.50 = 50% above.</t>
        </is>
      </c>
      <c r="D5" s="9" t="inlineStr">
        <is>
          <t>10yr median earnings ÷ state bachelor's earnings (3 dp)</t>
        </is>
      </c>
      <c r="E5" s="9" t="inlineStr">
        <is>
          <t>Median Earnings 10yr ($) ÷ State Bachelor's Earnings ($)</t>
        </is>
      </c>
      <c r="F5" s="9" t="inlineStr">
        <is>
          <t>Never blank</t>
        </is>
      </c>
    </row>
    <row r="6">
      <c r="A6" s="9" t="inlineStr">
        <is>
          <t>COL-Adjusted Earnings ($)</t>
        </is>
      </c>
      <c r="B6" s="9" t="inlineStr">
        <is>
          <t>Merged Data, column W</t>
        </is>
      </c>
      <c r="C6" s="9" t="inlineStr">
        <is>
          <t>Earnings restated in 'national average price' dollars, so a $70K salary in NYC and in Tulsa can be compared by buying power.</t>
        </is>
      </c>
      <c r="D6" s="9" t="inlineStr">
        <is>
          <t>10yr median earnings ÷ (state cost-of-living index ÷ 100), rounded to $1</t>
        </is>
      </c>
      <c r="E6" s="9" t="inlineStr">
        <is>
          <t>Median Earnings 10yr ($) ÷ (State Cost of Living Index ÷ 100)</t>
        </is>
      </c>
      <c r="F6" s="9" t="inlineStr">
        <is>
          <t>Blank for 2 Puerto Rico schools (no index in source)</t>
        </is>
      </c>
    </row>
    <row r="7">
      <c r="A7" s="9" t="inlineStr">
        <is>
          <t>Earnings per Tuition-Dollar (Out-of-State, 4yr)</t>
        </is>
      </c>
      <c r="B7" s="9" t="inlineStr">
        <is>
          <t>Merged Data, column X</t>
        </is>
      </c>
      <c r="C7" s="9" t="inlineStr">
        <is>
          <t>Rough return on sticker price: 10yr earnings per dollar of four years of out-of-state tuition. Ignores aid, housing and completion time.</t>
        </is>
      </c>
      <c r="D7" s="9" t="inlineStr">
        <is>
          <t>10yr median earnings ÷ (out-of-state tuition × 4), 3 dp</t>
        </is>
      </c>
      <c r="E7" s="9" t="inlineStr">
        <is>
          <t>Median Earnings 10yr ($) ÷ (Out-of-State Tuition ($) × 4)</t>
        </is>
      </c>
      <c r="F7" s="9" t="inlineStr">
        <is>
          <t>Blank where tuition missing (1 school)</t>
        </is>
      </c>
    </row>
    <row r="8">
      <c r="A8" s="9" t="inlineStr">
        <is>
          <t>Earnings per Tuition-Dollar (In-State, 4yr)</t>
        </is>
      </c>
      <c r="B8" s="9" t="inlineStr">
        <is>
          <t>Merged Data, column Y</t>
        </is>
      </c>
      <c r="C8" s="9" t="inlineStr">
        <is>
          <t>Same measure using in-state tuition; makes public schools look as they would to residents.</t>
        </is>
      </c>
      <c r="D8" s="9" t="inlineStr">
        <is>
          <t>10yr median earnings ÷ (in-state tuition × 4), 3 dp</t>
        </is>
      </c>
      <c r="E8" s="9" t="inlineStr">
        <is>
          <t>Median Earnings 10yr ($) ÷ (In-State Tuition ($) × 4)</t>
        </is>
      </c>
      <c r="F8" s="9" t="inlineStr">
        <is>
          <t>Blank where tuition missing (1 school)</t>
        </is>
      </c>
    </row>
    <row r="9">
      <c r="A9" s="9" t="inlineStr">
        <is>
          <t>Above State Bachelor's Average?</t>
        </is>
      </c>
      <c r="B9" s="9" t="inlineStr">
        <is>
          <t>Merged Data, column Z</t>
        </is>
      </c>
      <c r="C9" s="9" t="inlineStr">
        <is>
          <t>Quick flag for filtering: does the school's graduate earnings exceed the state bachelor's average?</t>
        </is>
      </c>
      <c r="D9" s="9" t="inlineStr">
        <is>
          <t>Yes if 10yr median earnings &gt; state bachelor's earnings, else No</t>
        </is>
      </c>
      <c r="E9" s="9" t="inlineStr">
        <is>
          <t>IF(Median Earnings 10yr &gt; State Bachelor's Earnings, 'Yes', 'No')</t>
        </is>
      </c>
      <c r="F9" s="9" t="inlineStr">
        <is>
          <t>Never blank</t>
        </is>
      </c>
    </row>
    <row r="10">
      <c r="A10" s="9" t="inlineStr">
        <is>
          <t>Rank: Earnings / State Bachelor's (1=best)</t>
        </is>
      </c>
      <c r="B10" s="9" t="inlineStr">
        <is>
          <t>Merged Data, column AA</t>
        </is>
      </c>
      <c r="C10" s="9" t="inlineStr">
        <is>
          <t>Where the school stands among all 200 on beating its own state baseline. Ties share the lower rank number.</t>
        </is>
      </c>
      <c r="D10" s="9" t="inlineStr">
        <is>
          <t>Rank of Earnings / State Bachelor's, descending, method = min</t>
        </is>
      </c>
      <c r="E10" s="9" t="inlineStr">
        <is>
          <t>RANK(Earnings / State Bachelor's, descending)</t>
        </is>
      </c>
      <c r="F10" s="9" t="inlineStr">
        <is>
          <t>Never blank</t>
        </is>
      </c>
    </row>
    <row r="11">
      <c r="A11" s="9" t="inlineStr">
        <is>
          <t>Rank: COL-Adjusted Earnings (1=best)</t>
        </is>
      </c>
      <c r="B11" s="9" t="inlineStr">
        <is>
          <t>Merged Data, column AB</t>
        </is>
      </c>
      <c r="C11" s="9" t="inlineStr">
        <is>
          <t>Where the school stands among schools with a cost-of-living index on cost-adjusted earnings (198 ranked).</t>
        </is>
      </c>
      <c r="D11" s="9" t="inlineStr">
        <is>
          <t>Rank of COL-Adjusted Earnings, descending, method = min</t>
        </is>
      </c>
      <c r="E11" s="9" t="inlineStr">
        <is>
          <t>RANK(COL-Adjusted Earnings ($), descending)</t>
        </is>
      </c>
      <c r="F11" s="9" t="inlineStr">
        <is>
          <t>Blank for 2 Puerto Rico schools</t>
        </is>
      </c>
    </row>
    <row r="12">
      <c r="A12" s="9" t="inlineStr">
        <is>
          <t>Debt as % of 10yr Earnings</t>
        </is>
      </c>
      <c r="B12" s="9" t="inlineStr">
        <is>
          <t>Merged Data, column AC</t>
        </is>
      </c>
      <c r="C12" s="9" t="inlineStr">
        <is>
          <t>How heavy median student debt is relative to later earnings. Lower is better.</t>
        </is>
      </c>
      <c r="D12" s="9" t="inlineStr">
        <is>
          <t>Median debt ÷ 10yr median earnings × 100, 1 dp</t>
        </is>
      </c>
      <c r="E12" s="9" t="inlineStr">
        <is>
          <t>Median Debt ($) ÷ Median Earnings 10yr ($) × 100</t>
        </is>
      </c>
      <c r="F12" s="9" t="inlineStr">
        <is>
          <t>Never blank</t>
        </is>
      </c>
    </row>
    <row r="13">
      <c r="A13" s="9" t="inlineStr">
        <is>
          <t>Nobel Prizes per 10,000 Students</t>
        </is>
      </c>
      <c r="B13" s="9" t="inlineStr">
        <is>
          <t>Merged Data, column AD</t>
        </is>
      </c>
      <c r="C13" s="9" t="inlineStr">
        <is>
          <t>Nobel density that doesn't just reward large schools.</t>
        </is>
      </c>
      <c r="D13" s="9" t="inlineStr">
        <is>
          <t>Nobel prizes ÷ student size × 10,000, 2 dp</t>
        </is>
      </c>
      <c r="E13" s="9" t="inlineStr">
        <is>
          <t>Nobel Prizes ÷ Student Size × 10,000</t>
        </is>
      </c>
      <c r="F13" s="9" t="inlineStr">
        <is>
          <t>Never blank (0 for the 166 schools with no prizes)</t>
        </is>
      </c>
    </row>
    <row r="15">
      <c r="A15" t="inlineStr">
        <is>
          <t>Merge key</t>
        </is>
      </c>
      <c r="B15" t="inlineStr">
        <is>
          <t>Merged Data, column C ("State Name")</t>
        </is>
      </c>
      <c r="C15" t="inlineStr">
        <is>
          <t>Full state name mapped from the two-letter State code, used to left-join the premium file (200/200 matched).</t>
        </is>
      </c>
    </row>
    <row r="16">
      <c r="A16" t="inlineStr">
        <is>
          <t>Source columns</t>
        </is>
      </c>
      <c r="B16" t="inlineStr">
        <is>
          <t>Merged Data, columns A–T</t>
        </is>
      </c>
      <c r="C16" t="inlineStr">
        <is>
          <t>Original college-data.csv columns (A–M, with State Name inserted at C) and the six state columns from college_premium_by_state.csv.</t>
        </is>
      </c>
    </row>
    <row r="17">
      <c r="A17" t="inlineStr">
        <is>
          <t>Caveat</t>
        </is>
      </c>
      <c r="C17" t="inlineStr">
        <is>
          <t>Scorecard earnings cover graduates who received federal aid; state figures cover everyone. Treat comparisons as directional.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0" t="inlineStr">
        <is>
          <t>Merge notes</t>
        </is>
      </c>
    </row>
    <row r="2">
      <c r="A2" t="inlineStr">
        <is>
          <t>Sources</t>
        </is>
      </c>
      <c r="B2" t="inlineStr">
        <is>
          <t>college-data.csv (200 schools); college_premium_by_state.csv (52 states/territories)</t>
        </is>
      </c>
    </row>
    <row r="3">
      <c r="A3" t="inlineStr">
        <is>
          <t>Join</t>
        </is>
      </c>
      <c r="B3" t="inlineStr">
        <is>
          <t>State codes mapped to full names, then left-joined on state name. 200/200 matched.</t>
        </is>
      </c>
    </row>
    <row r="4">
      <c r="A4" t="inlineStr">
        <is>
          <t>Gap</t>
        </is>
      </c>
      <c r="B4" t="inlineStr">
        <is>
          <t>Puerto Rico has no cost-of-living index in the source.</t>
        </is>
      </c>
    </row>
    <row r="5">
      <c r="A5" t="inlineStr">
        <is>
          <t>Other blanks</t>
        </is>
      </c>
      <c r="B5" t="inlineStr">
        <is>
          <t>Average SAT (32 schools) and tuition (1 school) are blank in the source.</t>
        </is>
      </c>
    </row>
    <row r="6">
      <c r="A6" t="inlineStr">
        <is>
          <t>Calculated columns</t>
        </is>
      </c>
      <c r="B6" t="inlineStr">
        <is>
          <t>See the Methodology tab.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2026-10-25T01:10:45Z</dcterms:created>
  <dcterms:modified xmlns:dcterms="http://purl.org/dc/terms/" xmlns:xsi="http://www.w3.org/2001/XMLSchema-instance" xsi:type="dcterms:W3CDTF">2026-10-25T01:47:38Z</dcterms:modified>
</cp:coreProperties>
</file>