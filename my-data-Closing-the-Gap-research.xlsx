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hart" sheetId="2" state="visible" r:id="rId4"/>
    <sheet name="Methodology" sheetId="3" state="visible" r:id="rId5"/>
    <sheet name="Notes" sheetId="4" state="visible" r:id="rId6"/>
  </sheets>
  <definedNames>
    <definedName function="false" hidden="true" localSheetId="0" name="_xlnm._FilterDatabase" vbProcedure="false">Data!$A$1:$O$16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<sst xmlns="http://schemas.openxmlformats.org/spreadsheetml/2006/main" count="190" uniqueCount="109">
  <si>
    <t xml:space="preserve">Item #</t>
  </si>
  <si>
    <t xml:space="preserve">Study / source</t>
  </si>
  <si>
    <t xml:space="preserve">What was measured</t>
  </si>
  <si>
    <t xml:space="preserve">Value</t>
  </si>
  <si>
    <t xml:space="preserve">Unit</t>
  </si>
  <si>
    <t xml:space="preserve">Base size</t>
  </si>
  <si>
    <t xml:space="preserve">Base unit</t>
  </si>
  <si>
    <t xml:space="preserve">Slide</t>
  </si>
  <si>
    <t xml:space="preserve">Source (URL)</t>
  </si>
  <si>
    <t xml:space="preserve">Source type</t>
  </si>
  <si>
    <t xml:space="preserve">Compare with item #</t>
  </si>
  <si>
    <t xml:space="preserve">Implied count (calc 1)</t>
  </si>
  <si>
    <t xml:space="preserve">Ratio vs. comparison (calc 2)</t>
  </si>
  <si>
    <t xml:space="preserve">Auto flag</t>
  </si>
  <si>
    <t xml:space="preserve">Notes / questionable</t>
  </si>
  <si>
    <t xml:space="preserve">MIT, GenAI Divide 2025</t>
  </si>
  <si>
    <t xml:space="preserve">Corporate AI pilots that stalled before scaling</t>
  </si>
  <si>
    <t xml:space="preserve">%</t>
  </si>
  <si>
    <t xml:space="preserve">https://computing.co.uk/news/2025/ai/mit-report-95pc-corporate-generative-ai-pilots-fail</t>
  </si>
  <si>
    <t xml:space="preserve">Secondary (news report)</t>
  </si>
  <si>
    <t xml:space="preserve">Sample mixes 150 leader interviews, 350 employee surveys, 300 deployments; checked via the news report, not the MIT PDF.</t>
  </si>
  <si>
    <t xml:space="preserve">Pilots that reached rapid revenue growth</t>
  </si>
  <si>
    <t xml:space="preserve">Stanford SALT Lab</t>
  </si>
  <si>
    <t xml:space="preserve">Tasks workers want AI to automate</t>
  </si>
  <si>
    <t xml:space="preserve">tasks</t>
  </si>
  <si>
    <t xml:space="preserve">https://arxiv.org/abs/2506.06576</t>
  </si>
  <si>
    <t xml:space="preserve">Primary (arXiv)</t>
  </si>
  <si>
    <t xml:space="preserve">1,500 workers, 104 occupations.</t>
  </si>
  <si>
    <t xml:space="preserve">Tasks where workers want more human involvement than experts judge necessary</t>
  </si>
  <si>
    <t xml:space="preserve">Y Combinator company-task mappings in low-priority or red-light zones</t>
  </si>
  <si>
    <t xml:space="preserve">Paper calls the unit "mappings" in the introduction and "companies" in the results; base count not stated.</t>
  </si>
  <si>
    <t xml:space="preserve">Hwang et al. 2024</t>
  </si>
  <si>
    <t xml:space="preserve">Professional writers interviewed</t>
  </si>
  <si>
    <t xml:space="preserve">count</t>
  </si>
  <si>
    <t xml:space="preserve">https://arxiv.org/abs/2411.13032</t>
  </si>
  <si>
    <t xml:space="preserve">Small study: a signal, not proof.</t>
  </si>
  <si>
    <t xml:space="preserve">Readers surveyed</t>
  </si>
  <si>
    <t xml:space="preserve">Readers could not tell AI-assisted from solo writing.</t>
  </si>
  <si>
    <t xml:space="preserve">TeamViewer / Sapio 2026</t>
  </si>
  <si>
    <t xml:space="preserve">Workers who want human oversight before AI acts</t>
  </si>
  <si>
    <t xml:space="preserve">workers</t>
  </si>
  <si>
    <t xml:space="preserve">https://www.teamviewer.com/hu/global/company/press/2026/ai-workplace-autonomy-global-research/</t>
  </si>
  <si>
    <t xml:space="preserve">Primary (press release)</t>
  </si>
  <si>
    <t xml:space="preserve">9 countries; fieldwork April-May 2026.</t>
  </si>
  <si>
    <t xml:space="preserve">Workers ready for AI to act more on its own</t>
  </si>
  <si>
    <t xml:space="preserve">Workers with no concerns about AI with no human in the loop</t>
  </si>
  <si>
    <t xml:space="preserve">Workers who often or always verify AI output</t>
  </si>
  <si>
    <t xml:space="preserve">Workers who don't always know when to trust AI</t>
  </si>
  <si>
    <t xml:space="preserve">Hours per week spent checking AI-generated work (average)</t>
  </si>
  <si>
    <t xml:space="preserve">hours</t>
  </si>
  <si>
    <t xml:space="preserve">Average per respondent, so no implied count.</t>
  </si>
  <si>
    <t xml:space="preserve">Iyengar &amp; Lepper 2000</t>
  </si>
  <si>
    <t xml:space="preserve">Bought a jar, 6-jam display</t>
  </si>
  <si>
    <t xml:space="preserve">https://www.atticusli.com/replication-crisis/choice-overload-jam-study/</t>
  </si>
  <si>
    <t xml:space="preserve">Secondary (article)</t>
  </si>
  <si>
    <t xml:space="preserve">Share of shoppers who stopped at the display, not of all passers-by; stopper counts in the source do not reconcile cleanly. Meta-analysis (Scheibehenne et al., JCR 2010) found an average effect near zero.</t>
  </si>
  <si>
    <t xml:space="preserve">Bought a jar, 24-jam display</t>
  </si>
  <si>
    <t xml:space="preserve">Deck cites the meta-analysis as 2009; JCR lists 2010.</t>
  </si>
  <si>
    <t xml:space="preserve">Chart data</t>
  </si>
  <si>
    <t xml:space="preserve">Every value is a formula that reads the Data tab. Change a number there and the charts update.</t>
  </si>
  <si>
    <t xml:space="preserve">Chart 1: Pilots stalled vs. scaled (deck slide 1). Bar chart</t>
  </si>
  <si>
    <t xml:space="preserve">Label</t>
  </si>
  <si>
    <t xml:space="preserve">Implied count</t>
  </si>
  <si>
    <t xml:space="preserve">Stalled before scaling</t>
  </si>
  <si>
    <t xml:space="preserve">Reached rapid revenue growth</t>
  </si>
  <si>
    <t xml:space="preserve">Ratio stalled : reached</t>
  </si>
  <si>
    <t xml:space="preserve">Chart 2: Oversight vs. autonomy (deck slide 2). Bar chart</t>
  </si>
  <si>
    <t xml:space="preserve">Want human oversight before AI acts</t>
  </si>
  <si>
    <t xml:space="preserve">Ready for AI to act more on its own</t>
  </si>
  <si>
    <t xml:space="preserve">No concerns with no human in the loop</t>
  </si>
  <si>
    <t xml:space="preserve">Chart 3: Jam, 6 vs. 24 options. NOT in the 6-slide deck (left out; the meta-analysis found a near-zero average effect). Kept for reference, no chart.</t>
  </si>
  <si>
    <t xml:space="preserve">6-jam display</t>
  </si>
  <si>
    <t xml:space="preserve">24-jam display</t>
  </si>
  <si>
    <t xml:space="preserve">Ratio 6-jam : 24-jam</t>
  </si>
  <si>
    <t xml:space="preserve">Chart 4: Trust and verification (supporting data; deck slide 2 uses the 2 hours a week figure). Bar chart</t>
  </si>
  <si>
    <t xml:space="preserve">Often or always verify AI output</t>
  </si>
  <si>
    <t xml:space="preserve">Don't always know when to trust AI</t>
  </si>
  <si>
    <t xml:space="preserve">Hours per week checking AI work (average; not a %, keep off the bar chart)</t>
  </si>
  <si>
    <t xml:space="preserve">Chart 5: Automate vs. more human involvement (deck slide 3). Bar chart</t>
  </si>
  <si>
    <t xml:space="preserve">Want more human involvement than experts judge necessary</t>
  </si>
  <si>
    <t xml:space="preserve">Want AI to automate</t>
  </si>
  <si>
    <t xml:space="preserve">my-data.xlsx: Closing the Gap Between AI and Real Needs</t>
  </si>
  <si>
    <t xml:space="preserve">Audience</t>
  </si>
  <si>
    <t xml:space="preserve">AI Builder peers</t>
  </si>
  <si>
    <t xml:space="preserve">Question</t>
  </si>
  <si>
    <t xml:space="preserve">Why do AI projects stall, and what do people need from AI before they trust it?</t>
  </si>
  <si>
    <t xml:space="preserve">Data</t>
  </si>
  <si>
    <t xml:space="preserve">One row per statistic on the Data tab. Every external row has a source URL. Every row is from published research; none come from my own work.</t>
  </si>
  <si>
    <t xml:space="preserve">Calculated columns (formulas, not typed values)</t>
  </si>
  <si>
    <t xml:space="preserve">Data!L. Value % x base size = how many workers or tasks the percentage represents, for example 61% of 4,200 workers is 2,562 workers. Blank where the base size is not stated in the source or the unit is not %.</t>
  </si>
  <si>
    <t xml:space="preserve">Data!M. Value divided by the value of the item named in column K, shown as "x". Examples: jam 6 vs 24 = 10.0x, which matches "ten times"; pilots stalled vs reached growth = 19.0x. Change a value in column D and both columns update.</t>
  </si>
  <si>
    <t xml:space="preserve">Data!N. Formula that flags a row when the source URL or the base size of a percentage is missing.</t>
  </si>
  <si>
    <t xml:space="preserve">Flags</t>
  </si>
  <si>
    <t xml:space="preserve">Rows with an auto flag</t>
  </si>
  <si>
    <t xml:space="preserve">Rows with no base size (percentages)</t>
  </si>
  <si>
    <t xml:space="preserve">Rows with no URL</t>
  </si>
  <si>
    <t xml:space="preserve">Charts</t>
  </si>
  <si>
    <t xml:space="preserve">Chart tab: 4 native charts (pilots, oversight vs. autonomy, verify/trust, tasks), all driven by formulas that read the Data tab. The jam data is kept but not charted: the 6-slide deck leaves it out.</t>
  </si>
  <si>
    <t xml:space="preserve">Topic</t>
  </si>
  <si>
    <t xml:space="preserve">Detail</t>
  </si>
  <si>
    <t xml:space="preserve">Rows to treat with care</t>
  </si>
  <si>
    <t xml:space="preserve">Items 1, 5, 14 and 15 carry notes in Data column O: secondary source, inconsistent unit, base not reconciled, citation year.</t>
  </si>
  <si>
    <t xml:space="preserve">Item 1 (MIT)</t>
  </si>
  <si>
    <t xml:space="preserve">Reached through a news report (Computing), not the primary report. Sample mixes 150 leader interviews, 350 employee surveys, 300 deployments.</t>
  </si>
  <si>
    <t xml:space="preserve">Item 5 (Stanford)</t>
  </si>
  <si>
    <t xml:space="preserve">The paper calls the unit "mappings" in the introduction and "companies" in the results; base count is not stated.</t>
  </si>
  <si>
    <t xml:space="preserve">Items 14-15 (jam study)</t>
  </si>
  <si>
    <t xml:space="preserve">Kept for reference, not used in the deck: share of shoppers who stopped at the display, not of all passers-by.</t>
  </si>
  <si>
    <t xml:space="preserve">Small study (19 writers, 30 readers): a signal, not proof.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</si>
</sst>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5"/>
      <color rgb="FF16202E"/>
      <name val="Plus Jakarta Sans"/>
      <family val="0"/>
      <charset val="1"/>
    </font>
    <font>
      <i val="true"/>
      <sz val="11"/>
      <color rgb="FF566170"/>
      <name val="Calibri"/>
      <family val="0"/>
      <charset val="1"/>
    </font>
    <font>
      <b val="true"/>
      <sz val="12"/>
      <color rgb="FF0F4C5C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6202E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0F4C5C"/>
      </patternFill>
    </fill>
    <fill>
      <patternFill patternType="solid">
        <fgColor rgb="FFB8860B"/>
        <bgColor rgb="FFFF9900"/>
      </patternFill>
    </fill>
    <fill>
      <patternFill patternType="solid">
        <fgColor rgb="FFFFF2CC"/>
        <bgColor rgb="FFF7F4EE"/>
      </patternFill>
    </fill>
    <fill>
      <patternFill patternType="solid">
        <fgColor rgb="FFF7F4EE"/>
        <bgColor rgb="FFFFFFFF"/>
      </patternFill>
    </fill>
    <fill>
      <patternFill patternType="solid">
        <fgColor rgb="FF0F4C5C"/>
        <bgColor rgb="FF1F4E5F"/>
      </patternFill>
    </fill>
    <fill>
      <patternFill patternType="solid">
        <fgColor rgb="FFD9E2E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6D0"/>
      </left>
      <right style="thin">
        <color rgb="FFD9D6D0"/>
      </right>
      <top style="thin">
        <color rgb="FFD9D6D0"/>
      </top>
      <bottom style="thin">
        <color rgb="FFD9D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3B3B3"/>
      <rgbColor rgb="FF808080"/>
      <rgbColor rgb="FF9999FF"/>
      <rgbColor rgb="FF993366"/>
      <rgbColor rgb="FFFFF2CC"/>
      <rgbColor rgb="FFD9E2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4EE"/>
      <rgbColor rgb="FFCCFFCC"/>
      <rgbColor rgb="FFFFFF99"/>
      <rgbColor rgb="FF99CCFF"/>
      <rgbColor rgb="FFFF99CC"/>
      <rgbColor rgb="FFCC99FF"/>
      <rgbColor rgb="FFD9D6D0"/>
      <rgbColor rgb="FF3366FF"/>
      <rgbColor rgb="FF33CCCC"/>
      <rgbColor rgb="FF99CC00"/>
      <rgbColor rgb="FFFFCC00"/>
      <rgbColor rgb="FFFF9900"/>
      <rgbColor rgb="FFFF6600"/>
      <rgbColor rgb="FF566170"/>
      <rgbColor rgb="FF969696"/>
      <rgbColor rgb="FF0F4C5C"/>
      <rgbColor rgb="FF339966"/>
      <rgbColor rgb="FF003300"/>
      <rgbColor rgb="FF333300"/>
      <rgbColor rgb="FF993300"/>
      <rgbColor rgb="FF993366"/>
      <rgbColor rgb="FF1F4E5F"/>
      <rgbColor rgb="FF16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Corporate AI pilots: stalled vs. reached growth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4c5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Chart!$A$5:$A$6</c:f>
              <c:strCache>
                <c:ptCount val="2"/>
                <c:pt idx="0">
                  <c:v>Stalled before scaling</c:v>
                </c:pt>
                <c:pt idx="1">
                  <c:v>Reached rapid revenue growth</c:v>
                </c:pt>
              </c:strCache>
            </c:strRef>
          </c:cat>
          <c:val>
            <c:numRef>
              <c:f>Chart!$C$5:$C$6</c:f>
              <c:numCache>
                <c:formatCode>General</c:formatCode>
                <c:ptCount val="2"/>
                <c:pt idx="0">
                  <c:v>95</c:v>
                </c:pt>
                <c:pt idx="1">
                  <c:v>5</c:v>
                </c:pt>
              </c:numCache>
            </c:numRef>
          </c:val>
        </c:ser>
        <c:gapWidth val="60"/>
        <c:overlap val="0"/>
        <c:axId val="15845562"/>
        <c:axId val="32824894"/>
      </c:barChart>
      <c:catAx>
        <c:axId val="158455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24894"/>
        <c:crosses val="autoZero"/>
        <c:auto val="1"/>
        <c:lblAlgn val="ctr"/>
        <c:lblOffset val="100"/>
        <c:noMultiLvlLbl val="0"/>
      </c:catAx>
      <c:valAx>
        <c:axId val="32824894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45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Workers: oversight vs. autonomy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4c5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Chart!$A$11:$A$13</c:f>
              <c:strCache>
                <c:ptCount val="3"/>
                <c:pt idx="0">
                  <c:v>Want human oversight before AI acts</c:v>
                </c:pt>
                <c:pt idx="1">
                  <c:v>Ready for AI to act more on its own</c:v>
                </c:pt>
                <c:pt idx="2">
                  <c:v>No concerns with no human in the loop</c:v>
                </c:pt>
              </c:strCache>
            </c:strRef>
          </c:cat>
          <c:val>
            <c:numRef>
              <c:f>Chart!$C$11:$C$13</c:f>
              <c:numCache>
                <c:formatCode>General</c:formatCode>
                <c:ptCount val="3"/>
                <c:pt idx="0">
                  <c:v>61</c:v>
                </c:pt>
                <c:pt idx="1">
                  <c:v>35</c:v>
                </c:pt>
                <c:pt idx="2">
                  <c:v>5</c:v>
                </c:pt>
              </c:numCache>
            </c:numRef>
          </c:val>
        </c:ser>
        <c:gapWidth val="60"/>
        <c:overlap val="0"/>
        <c:axId val="3158306"/>
        <c:axId val="25696398"/>
      </c:barChart>
      <c:catAx>
        <c:axId val="315830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96398"/>
        <c:crosses val="autoZero"/>
        <c:auto val="1"/>
        <c:lblAlgn val="ctr"/>
        <c:lblOffset val="100"/>
        <c:noMultiLvlLbl val="0"/>
      </c:catAx>
      <c:valAx>
        <c:axId val="25696398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8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Workers who verify / are unsure when to trust AI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4c5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Chart!$A$23:$A$24</c:f>
              <c:strCache>
                <c:ptCount val="2"/>
                <c:pt idx="0">
                  <c:v>Often or always verify AI output</c:v>
                </c:pt>
                <c:pt idx="1">
                  <c:v>Don't always know when to trust AI</c:v>
                </c:pt>
              </c:strCache>
            </c:strRef>
          </c:cat>
          <c:val>
            <c:numRef>
              <c:f>Chart!$C$23:$C$24</c:f>
              <c:numCache>
                <c:formatCode>General</c:formatCode>
                <c:ptCount val="2"/>
                <c:pt idx="0">
                  <c:v>56</c:v>
                </c:pt>
                <c:pt idx="1">
                  <c:v>51</c:v>
                </c:pt>
              </c:numCache>
            </c:numRef>
          </c:val>
        </c:ser>
        <c:gapWidth val="60"/>
        <c:overlap val="0"/>
        <c:axId val="83740177"/>
        <c:axId val="13952986"/>
      </c:barChart>
      <c:catAx>
        <c:axId val="837401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52986"/>
        <c:crosses val="autoZero"/>
        <c:auto val="1"/>
        <c:lblAlgn val="ctr"/>
        <c:lblOffset val="100"/>
        <c:noMultiLvlLbl val="0"/>
      </c:catAx>
      <c:valAx>
        <c:axId val="13952986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40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Tasks: more human involvement vs. automate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4c5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Chart!$A$29:$A$30</c:f>
              <c:strCache>
                <c:ptCount val="2"/>
                <c:pt idx="0">
                  <c:v>Want more human involvement than experts judge necessary</c:v>
                </c:pt>
                <c:pt idx="1">
                  <c:v>Want AI to automate</c:v>
                </c:pt>
              </c:strCache>
            </c:strRef>
          </c:cat>
          <c:val>
            <c:numRef>
              <c:f>Chart!$C$29:$C$30</c:f>
              <c:numCache>
                <c:formatCode>General</c:formatCode>
                <c:ptCount val="2"/>
                <c:pt idx="0">
                  <c:v>47.5</c:v>
                </c:pt>
                <c:pt idx="1">
                  <c:v>46.1</c:v>
                </c:pt>
              </c:numCache>
            </c:numRef>
          </c:val>
        </c:ser>
        <c:gapWidth val="60"/>
        <c:overlap val="0"/>
        <c:axId val="6586653"/>
        <c:axId val="74672130"/>
      </c:barChart>
      <c:catAx>
        <c:axId val="65866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72130"/>
        <c:crosses val="autoZero"/>
        <c:auto val="1"/>
        <c:lblAlgn val="ctr"/>
        <c:lblOffset val="100"/>
        <c:noMultiLvlLbl val="0"/>
      </c:catAx>
      <c:valAx>
        <c:axId val="74672130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respondents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66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16</xdr:row>
      <xdr:rowOff>32760</xdr:rowOff>
    </xdr:to>
    <xdr:graphicFrame>
      <xdr:nvGraphicFramePr>
        <xdr:cNvPr id="0" name="Chart 1"/>
        <xdr:cNvGraphicFramePr/>
      </xdr:nvGraphicFramePr>
      <xdr:xfrm>
        <a:off x="9515520" y="4096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17</xdr:col>
      <xdr:colOff>364680</xdr:colOff>
      <xdr:row>32</xdr:row>
      <xdr:rowOff>32400</xdr:rowOff>
    </xdr:to>
    <xdr:graphicFrame>
      <xdr:nvGraphicFramePr>
        <xdr:cNvPr id="1" name="Chart 2"/>
        <xdr:cNvGraphicFramePr/>
      </xdr:nvGraphicFramePr>
      <xdr:xfrm>
        <a:off x="9515520" y="345744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17</xdr:col>
      <xdr:colOff>364680</xdr:colOff>
      <xdr:row>48</xdr:row>
      <xdr:rowOff>32760</xdr:rowOff>
    </xdr:to>
    <xdr:graphicFrame>
      <xdr:nvGraphicFramePr>
        <xdr:cNvPr id="2" name="Chart 3"/>
        <xdr:cNvGraphicFramePr/>
      </xdr:nvGraphicFramePr>
      <xdr:xfrm>
        <a:off x="9515520" y="650556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50</xdr:row>
      <xdr:rowOff>0</xdr:rowOff>
    </xdr:from>
    <xdr:to>
      <xdr:col>17</xdr:col>
      <xdr:colOff>364680</xdr:colOff>
      <xdr:row>64</xdr:row>
      <xdr:rowOff>32760</xdr:rowOff>
    </xdr:to>
    <xdr:graphicFrame>
      <xdr:nvGraphicFramePr>
        <xdr:cNvPr id="3" name="Chart 4"/>
        <xdr:cNvGraphicFramePr/>
      </xdr:nvGraphicFramePr>
      <xdr:xfrm>
        <a:off x="9515520" y="95536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mputing.co.uk/news/2025/ai/mit-report-95pc-corporate-generative-ai-pilots-fail" TargetMode="External"/><Relationship Id="rId2" Type="http://schemas.openxmlformats.org/officeDocument/2006/relationships/hyperlink" Target="https://computing.co.uk/news/2025/ai/mit-report-95pc-corporate-generative-ai-pilots-fail" TargetMode="External"/><Relationship Id="rId3" Type="http://schemas.openxmlformats.org/officeDocument/2006/relationships/hyperlink" Target="https://arxiv.org/abs/2506.06576" TargetMode="External"/><Relationship Id="rId4" Type="http://schemas.openxmlformats.org/officeDocument/2006/relationships/hyperlink" Target="https://arxiv.org/abs/2506.06576" TargetMode="External"/><Relationship Id="rId5" Type="http://schemas.openxmlformats.org/officeDocument/2006/relationships/hyperlink" Target="https://arxiv.org/abs/2506.06576" TargetMode="External"/><Relationship Id="rId6" Type="http://schemas.openxmlformats.org/officeDocument/2006/relationships/hyperlink" Target="https://arxiv.org/abs/2411.13032" TargetMode="External"/><Relationship Id="rId7" Type="http://schemas.openxmlformats.org/officeDocument/2006/relationships/hyperlink" Target="https://arxiv.org/abs/2411.13032" TargetMode="External"/><Relationship Id="rId8" Type="http://schemas.openxmlformats.org/officeDocument/2006/relationships/hyperlink" Target="https://www.teamviewer.com/hu/global/company/press/2026/ai-workplace-autonomy-global-research/" TargetMode="External"/><Relationship Id="rId9" Type="http://schemas.openxmlformats.org/officeDocument/2006/relationships/hyperlink" Target="https://www.teamviewer.com/hu/global/company/press/2026/ai-workplace-autonomy-global-research/" TargetMode="External"/><Relationship Id="rId10" Type="http://schemas.openxmlformats.org/officeDocument/2006/relationships/hyperlink" Target="https://www.teamviewer.com/hu/global/company/press/2026/ai-workplace-autonomy-global-research/" TargetMode="External"/><Relationship Id="rId11" Type="http://schemas.openxmlformats.org/officeDocument/2006/relationships/hyperlink" Target="https://www.teamviewer.com/hu/global/company/press/2026/ai-workplace-autonomy-global-research/" TargetMode="External"/><Relationship Id="rId12" Type="http://schemas.openxmlformats.org/officeDocument/2006/relationships/hyperlink" Target="https://www.teamviewer.com/hu/global/company/press/2026/ai-workplace-autonomy-global-research/" TargetMode="External"/><Relationship Id="rId13" Type="http://schemas.openxmlformats.org/officeDocument/2006/relationships/hyperlink" Target="https://www.teamviewer.com/hu/global/company/press/2026/ai-workplace-autonomy-global-research/" TargetMode="External"/><Relationship Id="rId14" Type="http://schemas.openxmlformats.org/officeDocument/2006/relationships/hyperlink" Target="https://www.atticusli.com/replication-crisis/choice-overload-jam-study/" TargetMode="External"/><Relationship Id="rId15" Type="http://schemas.openxmlformats.org/officeDocument/2006/relationships/hyperlink" Target="https://www.atticusli.com/replication-crisis/choice-overload-jam-study/" TargetMode="External"/><Relationship Id="rId1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4"/>
    <col collapsed="false" customWidth="true" hidden="false" outlineLevel="0" max="3" min="3" style="1" width="48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7" min="6" style="1" width="10"/>
    <col collapsed="false" customWidth="true" hidden="false" outlineLevel="0" max="8" min="8" style="1" width="7"/>
    <col collapsed="false" customWidth="true" hidden="false" outlineLevel="0" max="9" min="9" style="1" width="60"/>
    <col collapsed="false" customWidth="true" hidden="false" outlineLevel="0" max="10" min="10" style="1" width="28"/>
    <col collapsed="false" customWidth="true" hidden="false" outlineLevel="0" max="11" min="11" style="1" width="12"/>
    <col collapsed="false" customWidth="true" hidden="false" outlineLevel="0" max="13" min="12" style="1" width="14"/>
    <col collapsed="false" customWidth="true" hidden="false" outlineLevel="0" max="14" min="14" style="1" width="26"/>
    <col collapsed="false" customWidth="true" hidden="false" outlineLevel="0" max="15" min="15" style="1" width="60"/>
  </cols>
  <sheetData>
    <row r="1" customFormat="false" ht="4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customFormat="false" ht="45.75" hidden="false" customHeight="true" outlineLevel="0" collapsed="false">
      <c r="A2" s="4" t="n">
        <v>1</v>
      </c>
      <c r="B2" s="5" t="s">
        <v>15</v>
      </c>
      <c r="C2" s="5" t="s">
        <v>16</v>
      </c>
      <c r="D2" s="4" t="n">
        <v>95</v>
      </c>
      <c r="E2" s="4" t="s">
        <v>17</v>
      </c>
      <c r="F2" s="6"/>
      <c r="G2" s="4"/>
      <c r="H2" s="4" t="n">
        <v>3</v>
      </c>
      <c r="I2" s="7" t="s">
        <v>18</v>
      </c>
      <c r="J2" s="5" t="s">
        <v>19</v>
      </c>
      <c r="K2" s="4" t="n">
        <v>2</v>
      </c>
      <c r="L2" s="8" t="str">
        <f aca="false">IF(AND(E2="%",F2&lt;&gt;""),ROUND(D2/100*F2,0),"")</f>
        <v/>
      </c>
      <c r="M2" s="9" t="n">
        <f aca="false">IF(K2="","",ROUND(D2/INDEX($D$2:$D$16,MATCH(K2,$A$2:$A$16,0)),1))</f>
        <v>19</v>
      </c>
      <c r="N2" s="5" t="str">
        <f aca="false">TRIM(IF(I2="","No URL (own file). ","")&amp;IF(AND(E2="%",F2=""),"Base size not stated. ",""))</f>
        <v>Base size not stated.</v>
      </c>
      <c r="O2" s="5" t="s">
        <v>20</v>
      </c>
    </row>
    <row r="3" customFormat="false" ht="31.5" hidden="false" customHeight="true" outlineLevel="0" collapsed="false">
      <c r="A3" s="4" t="n">
        <v>2</v>
      </c>
      <c r="B3" s="5" t="s">
        <v>15</v>
      </c>
      <c r="C3" s="5" t="s">
        <v>21</v>
      </c>
      <c r="D3" s="4" t="n">
        <v>5</v>
      </c>
      <c r="E3" s="4" t="s">
        <v>17</v>
      </c>
      <c r="F3" s="6"/>
      <c r="G3" s="4"/>
      <c r="H3" s="4" t="n">
        <v>3</v>
      </c>
      <c r="I3" s="7" t="s">
        <v>18</v>
      </c>
      <c r="J3" s="5" t="s">
        <v>19</v>
      </c>
      <c r="K3" s="4"/>
      <c r="L3" s="8" t="str">
        <f aca="false">IF(AND(E3="%",F3&lt;&gt;""),ROUND(D3/100*F3,0),"")</f>
        <v/>
      </c>
      <c r="M3" s="9" t="str">
        <f aca="false">IF(K3="","",ROUND(D3/INDEX($D$2:$D$16,MATCH(K3,$A$2:$A$16,0)),1))</f>
        <v/>
      </c>
      <c r="N3" s="5" t="str">
        <f aca="false">TRIM(IF(I3="","No URL (own file). ","")&amp;IF(AND(E3="%",F3=""),"Base size not stated. ",""))</f>
        <v>Base size not stated.</v>
      </c>
      <c r="O3" s="5"/>
    </row>
    <row r="4" customFormat="false" ht="31.5" hidden="false" customHeight="true" outlineLevel="0" collapsed="false">
      <c r="A4" s="4" t="n">
        <v>3</v>
      </c>
      <c r="B4" s="5" t="s">
        <v>22</v>
      </c>
      <c r="C4" s="5" t="s">
        <v>23</v>
      </c>
      <c r="D4" s="4" t="n">
        <v>46.1</v>
      </c>
      <c r="E4" s="4" t="s">
        <v>17</v>
      </c>
      <c r="F4" s="6" t="n">
        <v>844</v>
      </c>
      <c r="G4" s="4" t="s">
        <v>24</v>
      </c>
      <c r="H4" s="4" t="n">
        <v>4</v>
      </c>
      <c r="I4" s="7" t="s">
        <v>25</v>
      </c>
      <c r="J4" s="5" t="s">
        <v>26</v>
      </c>
      <c r="K4" s="4"/>
      <c r="L4" s="8" t="n">
        <f aca="false">IF(AND(E4="%",F4&lt;&gt;""),ROUND(D4/100*F4,0),"")</f>
        <v>389</v>
      </c>
      <c r="M4" s="9" t="str">
        <f aca="false">IF(K4="","",ROUND(D4/INDEX($D$2:$D$16,MATCH(K4,$A$2:$A$16,0)),1))</f>
        <v/>
      </c>
      <c r="N4" s="5" t="str">
        <f aca="false">TRIM(IF(I4="","No URL (own file). ","")&amp;IF(AND(E4="%",F4=""),"Base size not stated. ",""))</f>
        <v/>
      </c>
      <c r="O4" s="5" t="s">
        <v>27</v>
      </c>
    </row>
    <row r="5" customFormat="false" ht="31.5" hidden="false" customHeight="true" outlineLevel="0" collapsed="false">
      <c r="A5" s="4" t="n">
        <v>4</v>
      </c>
      <c r="B5" s="5" t="s">
        <v>22</v>
      </c>
      <c r="C5" s="5" t="s">
        <v>28</v>
      </c>
      <c r="D5" s="4" t="n">
        <v>47.5</v>
      </c>
      <c r="E5" s="4" t="s">
        <v>17</v>
      </c>
      <c r="F5" s="6" t="n">
        <v>844</v>
      </c>
      <c r="G5" s="4" t="s">
        <v>24</v>
      </c>
      <c r="H5" s="4" t="n">
        <v>4</v>
      </c>
      <c r="I5" s="7" t="s">
        <v>25</v>
      </c>
      <c r="J5" s="5" t="s">
        <v>26</v>
      </c>
      <c r="K5" s="4"/>
      <c r="L5" s="8" t="n">
        <f aca="false">IF(AND(E5="%",F5&lt;&gt;""),ROUND(D5/100*F5,0),"")</f>
        <v>401</v>
      </c>
      <c r="M5" s="9" t="str">
        <f aca="false">IF(K5="","",ROUND(D5/INDEX($D$2:$D$16,MATCH(K5,$A$2:$A$16,0)),1))</f>
        <v/>
      </c>
      <c r="N5" s="5" t="str">
        <f aca="false">TRIM(IF(I5="","No URL (own file). ","")&amp;IF(AND(E5="%",F5=""),"Base size not stated. ",""))</f>
        <v/>
      </c>
      <c r="O5" s="5"/>
    </row>
    <row r="6" customFormat="false" ht="45.75" hidden="false" customHeight="true" outlineLevel="0" collapsed="false">
      <c r="A6" s="4" t="n">
        <v>5</v>
      </c>
      <c r="B6" s="5" t="s">
        <v>22</v>
      </c>
      <c r="C6" s="5" t="s">
        <v>29</v>
      </c>
      <c r="D6" s="4" t="n">
        <v>41</v>
      </c>
      <c r="E6" s="4" t="s">
        <v>17</v>
      </c>
      <c r="F6" s="6"/>
      <c r="G6" s="4"/>
      <c r="H6" s="4" t="n">
        <v>4</v>
      </c>
      <c r="I6" s="7" t="s">
        <v>25</v>
      </c>
      <c r="J6" s="5" t="s">
        <v>26</v>
      </c>
      <c r="K6" s="4"/>
      <c r="L6" s="8" t="str">
        <f aca="false">IF(AND(E6="%",F6&lt;&gt;""),ROUND(D6/100*F6,0),"")</f>
        <v/>
      </c>
      <c r="M6" s="9" t="str">
        <f aca="false">IF(K6="","",ROUND(D6/INDEX($D$2:$D$16,MATCH(K6,$A$2:$A$16,0)),1))</f>
        <v/>
      </c>
      <c r="N6" s="5" t="str">
        <f aca="false">TRIM(IF(I6="","No URL (own file). ","")&amp;IF(AND(E6="%",F6=""),"Base size not stated. ",""))</f>
        <v>Base size not stated.</v>
      </c>
      <c r="O6" s="5" t="s">
        <v>30</v>
      </c>
    </row>
    <row r="7" customFormat="false" ht="31.5" hidden="false" customHeight="true" outlineLevel="0" collapsed="false">
      <c r="A7" s="4" t="n">
        <v>6</v>
      </c>
      <c r="B7" s="5" t="s">
        <v>31</v>
      </c>
      <c r="C7" s="5" t="s">
        <v>32</v>
      </c>
      <c r="D7" s="4" t="n">
        <v>19</v>
      </c>
      <c r="E7" s="4" t="s">
        <v>33</v>
      </c>
      <c r="F7" s="6"/>
      <c r="G7" s="4"/>
      <c r="H7" s="4" t="n">
        <v>5</v>
      </c>
      <c r="I7" s="7" t="s">
        <v>34</v>
      </c>
      <c r="J7" s="5" t="s">
        <v>26</v>
      </c>
      <c r="K7" s="4"/>
      <c r="L7" s="8" t="str">
        <f aca="false">IF(AND(E7="%",F7&lt;&gt;""),ROUND(D7/100*F7,0),"")</f>
        <v/>
      </c>
      <c r="M7" s="9" t="str">
        <f aca="false">IF(K7="","",ROUND(D7/INDEX($D$2:$D$16,MATCH(K7,$A$2:$A$16,0)),1))</f>
        <v/>
      </c>
      <c r="N7" s="5" t="str">
        <f aca="false">TRIM(IF(I7="","No URL (own file). ","")&amp;IF(AND(E7="%",F7=""),"Base size not stated. ",""))</f>
        <v/>
      </c>
      <c r="O7" s="5" t="s">
        <v>35</v>
      </c>
    </row>
    <row r="8" customFormat="false" ht="31.5" hidden="false" customHeight="true" outlineLevel="0" collapsed="false">
      <c r="A8" s="4" t="n">
        <v>7</v>
      </c>
      <c r="B8" s="5" t="s">
        <v>31</v>
      </c>
      <c r="C8" s="5" t="s">
        <v>36</v>
      </c>
      <c r="D8" s="4" t="n">
        <v>30</v>
      </c>
      <c r="E8" s="4" t="s">
        <v>33</v>
      </c>
      <c r="F8" s="6"/>
      <c r="G8" s="4"/>
      <c r="H8" s="4" t="n">
        <v>5</v>
      </c>
      <c r="I8" s="7" t="s">
        <v>34</v>
      </c>
      <c r="J8" s="5" t="s">
        <v>26</v>
      </c>
      <c r="K8" s="4"/>
      <c r="L8" s="8" t="str">
        <f aca="false">IF(AND(E8="%",F8&lt;&gt;""),ROUND(D8/100*F8,0),"")</f>
        <v/>
      </c>
      <c r="M8" s="9" t="str">
        <f aca="false">IF(K8="","",ROUND(D8/INDEX($D$2:$D$16,MATCH(K8,$A$2:$A$16,0)),1))</f>
        <v/>
      </c>
      <c r="N8" s="5" t="str">
        <f aca="false">TRIM(IF(I8="","No URL (own file). ","")&amp;IF(AND(E8="%",F8=""),"Base size not stated. ",""))</f>
        <v/>
      </c>
      <c r="O8" s="5" t="s">
        <v>37</v>
      </c>
    </row>
    <row r="9" customFormat="false" ht="31.5" hidden="false" customHeight="true" outlineLevel="0" collapsed="false">
      <c r="A9" s="4" t="n">
        <v>8</v>
      </c>
      <c r="B9" s="5" t="s">
        <v>38</v>
      </c>
      <c r="C9" s="5" t="s">
        <v>39</v>
      </c>
      <c r="D9" s="4" t="n">
        <v>61</v>
      </c>
      <c r="E9" s="4" t="s">
        <v>17</v>
      </c>
      <c r="F9" s="6" t="n">
        <v>4200</v>
      </c>
      <c r="G9" s="4" t="s">
        <v>40</v>
      </c>
      <c r="H9" s="4" t="n">
        <v>6</v>
      </c>
      <c r="I9" s="7" t="s">
        <v>41</v>
      </c>
      <c r="J9" s="5" t="s">
        <v>42</v>
      </c>
      <c r="K9" s="4" t="n">
        <v>9</v>
      </c>
      <c r="L9" s="8" t="n">
        <f aca="false">IF(AND(E9="%",F9&lt;&gt;""),ROUND(D9/100*F9,0),"")</f>
        <v>2562</v>
      </c>
      <c r="M9" s="9" t="n">
        <f aca="false">IF(K9="","",ROUND(D9/INDEX($D$2:$D$16,MATCH(K9,$A$2:$A$16,0)),1))</f>
        <v>1.7</v>
      </c>
      <c r="N9" s="5" t="str">
        <f aca="false">TRIM(IF(I9="","No URL (own file). ","")&amp;IF(AND(E9="%",F9=""),"Base size not stated. ",""))</f>
        <v/>
      </c>
      <c r="O9" s="5" t="s">
        <v>43</v>
      </c>
    </row>
    <row r="10" customFormat="false" ht="31.5" hidden="false" customHeight="true" outlineLevel="0" collapsed="false">
      <c r="A10" s="4" t="n">
        <v>9</v>
      </c>
      <c r="B10" s="5" t="s">
        <v>38</v>
      </c>
      <c r="C10" s="5" t="s">
        <v>44</v>
      </c>
      <c r="D10" s="4" t="n">
        <v>35</v>
      </c>
      <c r="E10" s="4" t="s">
        <v>17</v>
      </c>
      <c r="F10" s="6" t="n">
        <v>4200</v>
      </c>
      <c r="G10" s="4" t="s">
        <v>40</v>
      </c>
      <c r="H10" s="4" t="n">
        <v>6</v>
      </c>
      <c r="I10" s="7" t="s">
        <v>41</v>
      </c>
      <c r="J10" s="5" t="s">
        <v>42</v>
      </c>
      <c r="K10" s="4"/>
      <c r="L10" s="8" t="n">
        <f aca="false">IF(AND(E10="%",F10&lt;&gt;""),ROUND(D10/100*F10,0),"")</f>
        <v>1470</v>
      </c>
      <c r="M10" s="9" t="str">
        <f aca="false">IF(K10="","",ROUND(D10/INDEX($D$2:$D$16,MATCH(K10,$A$2:$A$16,0)),1))</f>
        <v/>
      </c>
      <c r="N10" s="5" t="str">
        <f aca="false">TRIM(IF(I10="","No URL (own file). ","")&amp;IF(AND(E10="%",F10=""),"Base size not stated. ",""))</f>
        <v/>
      </c>
      <c r="O10" s="5"/>
    </row>
    <row r="11" customFormat="false" ht="31.5" hidden="false" customHeight="true" outlineLevel="0" collapsed="false">
      <c r="A11" s="4" t="n">
        <v>10</v>
      </c>
      <c r="B11" s="5" t="s">
        <v>38</v>
      </c>
      <c r="C11" s="5" t="s">
        <v>45</v>
      </c>
      <c r="D11" s="4" t="n">
        <v>5</v>
      </c>
      <c r="E11" s="4" t="s">
        <v>17</v>
      </c>
      <c r="F11" s="6" t="n">
        <v>4200</v>
      </c>
      <c r="G11" s="4" t="s">
        <v>40</v>
      </c>
      <c r="H11" s="4" t="n">
        <v>6</v>
      </c>
      <c r="I11" s="7" t="s">
        <v>41</v>
      </c>
      <c r="J11" s="5" t="s">
        <v>42</v>
      </c>
      <c r="K11" s="4"/>
      <c r="L11" s="8" t="n">
        <f aca="false">IF(AND(E11="%",F11&lt;&gt;""),ROUND(D11/100*F11,0),"")</f>
        <v>210</v>
      </c>
      <c r="M11" s="9" t="str">
        <f aca="false">IF(K11="","",ROUND(D11/INDEX($D$2:$D$16,MATCH(K11,$A$2:$A$16,0)),1))</f>
        <v/>
      </c>
      <c r="N11" s="5" t="str">
        <f aca="false">TRIM(IF(I11="","No URL (own file). ","")&amp;IF(AND(E11="%",F11=""),"Base size not stated. ",""))</f>
        <v/>
      </c>
      <c r="O11" s="5"/>
    </row>
    <row r="12" customFormat="false" ht="31.5" hidden="false" customHeight="true" outlineLevel="0" collapsed="false">
      <c r="A12" s="4" t="n">
        <v>11</v>
      </c>
      <c r="B12" s="5" t="s">
        <v>38</v>
      </c>
      <c r="C12" s="5" t="s">
        <v>46</v>
      </c>
      <c r="D12" s="4" t="n">
        <v>56</v>
      </c>
      <c r="E12" s="4" t="s">
        <v>17</v>
      </c>
      <c r="F12" s="6" t="n">
        <v>4200</v>
      </c>
      <c r="G12" s="4" t="s">
        <v>40</v>
      </c>
      <c r="H12" s="4" t="n">
        <v>8</v>
      </c>
      <c r="I12" s="7" t="s">
        <v>41</v>
      </c>
      <c r="J12" s="5" t="s">
        <v>42</v>
      </c>
      <c r="K12" s="4"/>
      <c r="L12" s="8" t="n">
        <f aca="false">IF(AND(E12="%",F12&lt;&gt;""),ROUND(D12/100*F12,0),"")</f>
        <v>2352</v>
      </c>
      <c r="M12" s="9" t="str">
        <f aca="false">IF(K12="","",ROUND(D12/INDEX($D$2:$D$16,MATCH(K12,$A$2:$A$16,0)),1))</f>
        <v/>
      </c>
      <c r="N12" s="5" t="str">
        <f aca="false">TRIM(IF(I12="","No URL (own file). ","")&amp;IF(AND(E12="%",F12=""),"Base size not stated. ",""))</f>
        <v/>
      </c>
      <c r="O12" s="5"/>
    </row>
    <row r="13" customFormat="false" ht="31.5" hidden="false" customHeight="true" outlineLevel="0" collapsed="false">
      <c r="A13" s="4" t="n">
        <v>12</v>
      </c>
      <c r="B13" s="5" t="s">
        <v>38</v>
      </c>
      <c r="C13" s="5" t="s">
        <v>47</v>
      </c>
      <c r="D13" s="4" t="n">
        <v>51</v>
      </c>
      <c r="E13" s="4" t="s">
        <v>17</v>
      </c>
      <c r="F13" s="6" t="n">
        <v>4200</v>
      </c>
      <c r="G13" s="4" t="s">
        <v>40</v>
      </c>
      <c r="H13" s="4" t="n">
        <v>8</v>
      </c>
      <c r="I13" s="7" t="s">
        <v>41</v>
      </c>
      <c r="J13" s="5" t="s">
        <v>42</v>
      </c>
      <c r="K13" s="4"/>
      <c r="L13" s="8" t="n">
        <f aca="false">IF(AND(E13="%",F13&lt;&gt;""),ROUND(D13/100*F13,0),"")</f>
        <v>2142</v>
      </c>
      <c r="M13" s="9" t="str">
        <f aca="false">IF(K13="","",ROUND(D13/INDEX($D$2:$D$16,MATCH(K13,$A$2:$A$16,0)),1))</f>
        <v/>
      </c>
      <c r="N13" s="5" t="str">
        <f aca="false">TRIM(IF(I13="","No URL (own file). ","")&amp;IF(AND(E13="%",F13=""),"Base size not stated. ",""))</f>
        <v/>
      </c>
      <c r="O13" s="5"/>
    </row>
    <row r="14" customFormat="false" ht="31.5" hidden="false" customHeight="true" outlineLevel="0" collapsed="false">
      <c r="A14" s="4" t="n">
        <v>13</v>
      </c>
      <c r="B14" s="5" t="s">
        <v>38</v>
      </c>
      <c r="C14" s="5" t="s">
        <v>48</v>
      </c>
      <c r="D14" s="4" t="n">
        <v>2</v>
      </c>
      <c r="E14" s="4" t="s">
        <v>49</v>
      </c>
      <c r="F14" s="6" t="n">
        <v>4200</v>
      </c>
      <c r="G14" s="4" t="s">
        <v>40</v>
      </c>
      <c r="H14" s="4" t="n">
        <v>8</v>
      </c>
      <c r="I14" s="7" t="s">
        <v>41</v>
      </c>
      <c r="J14" s="5" t="s">
        <v>42</v>
      </c>
      <c r="K14" s="4"/>
      <c r="L14" s="8" t="str">
        <f aca="false">IF(AND(E14="%",F14&lt;&gt;""),ROUND(D14/100*F14,0),"")</f>
        <v/>
      </c>
      <c r="M14" s="9" t="str">
        <f aca="false">IF(K14="","",ROUND(D14/INDEX($D$2:$D$16,MATCH(K14,$A$2:$A$16,0)),1))</f>
        <v/>
      </c>
      <c r="N14" s="5" t="str">
        <f aca="false">TRIM(IF(I14="","No URL (own file). ","")&amp;IF(AND(E14="%",F14=""),"Base size not stated. ",""))</f>
        <v/>
      </c>
      <c r="O14" s="5" t="s">
        <v>50</v>
      </c>
    </row>
    <row r="15" customFormat="false" ht="45.75" hidden="false" customHeight="true" outlineLevel="0" collapsed="false">
      <c r="A15" s="4" t="n">
        <v>14</v>
      </c>
      <c r="B15" s="5" t="s">
        <v>51</v>
      </c>
      <c r="C15" s="5" t="s">
        <v>52</v>
      </c>
      <c r="D15" s="4" t="n">
        <v>30</v>
      </c>
      <c r="E15" s="4" t="s">
        <v>17</v>
      </c>
      <c r="F15" s="6"/>
      <c r="G15" s="4"/>
      <c r="H15" s="4" t="n">
        <v>7</v>
      </c>
      <c r="I15" s="7" t="s">
        <v>53</v>
      </c>
      <c r="J15" s="5" t="s">
        <v>54</v>
      </c>
      <c r="K15" s="4" t="n">
        <v>15</v>
      </c>
      <c r="L15" s="8" t="str">
        <f aca="false">IF(AND(E15="%",F15&lt;&gt;""),ROUND(D15/100*F15,0),"")</f>
        <v/>
      </c>
      <c r="M15" s="9" t="n">
        <f aca="false">IF(K15="","",ROUND(D15/INDEX($D$2:$D$16,MATCH(K15,$A$2:$A$16,0)),1))</f>
        <v>10</v>
      </c>
      <c r="N15" s="5" t="str">
        <f aca="false">TRIM(IF(I15="","No URL (own file). ","")&amp;IF(AND(E15="%",F15=""),"Base size not stated. ",""))</f>
        <v>Base size not stated.</v>
      </c>
      <c r="O15" s="5" t="s">
        <v>55</v>
      </c>
    </row>
    <row r="16" customFormat="false" ht="31.5" hidden="false" customHeight="true" outlineLevel="0" collapsed="false">
      <c r="A16" s="4" t="n">
        <v>15</v>
      </c>
      <c r="B16" s="5" t="s">
        <v>51</v>
      </c>
      <c r="C16" s="5" t="s">
        <v>56</v>
      </c>
      <c r="D16" s="4" t="n">
        <v>3</v>
      </c>
      <c r="E16" s="4" t="s">
        <v>17</v>
      </c>
      <c r="F16" s="6"/>
      <c r="G16" s="4"/>
      <c r="H16" s="4" t="n">
        <v>7</v>
      </c>
      <c r="I16" s="7" t="s">
        <v>53</v>
      </c>
      <c r="J16" s="5" t="s">
        <v>54</v>
      </c>
      <c r="K16" s="4"/>
      <c r="L16" s="8" t="str">
        <f aca="false">IF(AND(E16="%",F16&lt;&gt;""),ROUND(D16/100*F16,0),"")</f>
        <v/>
      </c>
      <c r="M16" s="9" t="str">
        <f aca="false">IF(K16="","",ROUND(D16/INDEX($D$2:$D$16,MATCH(K16,$A$2:$A$16,0)),1))</f>
        <v/>
      </c>
      <c r="N16" s="5" t="str">
        <f aca="false">TRIM(IF(I16="","No URL (own file). ","")&amp;IF(AND(E16="%",F16=""),"Base size not stated. ",""))</f>
        <v>Base size not stated.</v>
      </c>
      <c r="O16" s="5" t="s">
        <v>57</v>
      </c>
    </row>
    <row r="17" customFormat="false" ht="31.5" hidden="false" customHeight="true" outlineLevel="0" collapsed="false"/>
    <row r="18" customFormat="false" ht="31.5" hidden="false" customHeight="true" outlineLevel="0" collapsed="false"/>
    <row r="19" customFormat="false" ht="31.5" hidden="false" customHeight="true" outlineLevel="0" collapsed="false"/>
    <row r="20" customFormat="false" ht="31.5" hidden="false" customHeight="true" outlineLevel="0" collapsed="false"/>
  </sheetData>
  <autoFilter ref="A1:O16"/>
  <hyperlinks>
    <hyperlink ref="I2" r:id="rId1" display="https://computing.co.uk/news/2025/ai/mit-report-95pc-corporate-generative-ai-pilots-fail"/>
    <hyperlink ref="I3" r:id="rId2" display="https://computing.co.uk/news/2025/ai/mit-report-95pc-corporate-generative-ai-pilots-fail"/>
    <hyperlink ref="I4" r:id="rId3" display="https://arxiv.org/abs/2506.06576"/>
    <hyperlink ref="I5" r:id="rId4" display="https://arxiv.org/abs/2506.06576"/>
    <hyperlink ref="I6" r:id="rId5" display="https://arxiv.org/abs/2506.06576"/>
    <hyperlink ref="I7" r:id="rId6" display="https://arxiv.org/abs/2411.13032"/>
    <hyperlink ref="I8" r:id="rId7" display="https://arxiv.org/abs/2411.13032"/>
    <hyperlink ref="I9" r:id="rId8" display="https://www.teamviewer.com/hu/global/company/press/2026/ai-workplace-autonomy-global-research/"/>
    <hyperlink ref="I10" r:id="rId9" display="https://www.teamviewer.com/hu/global/company/press/2026/ai-workplace-autonomy-global-research/"/>
    <hyperlink ref="I11" r:id="rId10" display="https://www.teamviewer.com/hu/global/company/press/2026/ai-workplace-autonomy-global-research/"/>
    <hyperlink ref="I12" r:id="rId11" display="https://www.teamviewer.com/hu/global/company/press/2026/ai-workplace-autonomy-global-research/"/>
    <hyperlink ref="I13" r:id="rId12" display="https://www.teamviewer.com/hu/global/company/press/2026/ai-workplace-autonomy-global-research/"/>
    <hyperlink ref="I14" r:id="rId13" display="https://www.teamviewer.com/hu/global/company/press/2026/ai-workplace-autonomy-global-research/"/>
    <hyperlink ref="I15" r:id="rId14" display="https://www.atticusli.com/replication-crisis/choice-overload-jam-study/"/>
    <hyperlink ref="I16" r:id="rId15" display="https://www.atticusli.com/replication-crisis/choice-overload-jam-study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4C5C"/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40"/>
    <col collapsed="false" customWidth="true" hidden="false" outlineLevel="0" max="7" min="7" style="1" width="3"/>
  </cols>
  <sheetData>
    <row r="1" customFormat="false" ht="17.25" hidden="false" customHeight="true" outlineLevel="0" collapsed="false">
      <c r="A1" s="10" t="s">
        <v>58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59</v>
      </c>
      <c r="B2" s="11"/>
      <c r="C2" s="11"/>
      <c r="D2" s="11"/>
      <c r="E2" s="11"/>
      <c r="F2" s="11"/>
    </row>
    <row r="3" customFormat="false" ht="15" hidden="false" customHeight="true" outlineLevel="0" collapsed="false">
      <c r="A3" s="13" t="s">
        <v>60</v>
      </c>
      <c r="B3" s="11"/>
      <c r="C3" s="11"/>
      <c r="D3" s="11"/>
      <c r="E3" s="11"/>
      <c r="F3" s="11"/>
    </row>
    <row r="4" customFormat="false" ht="15" hidden="false" customHeight="true" outlineLevel="0" collapsed="false">
      <c r="A4" s="14" t="s">
        <v>61</v>
      </c>
      <c r="B4" s="14" t="s">
        <v>0</v>
      </c>
      <c r="C4" s="14" t="s">
        <v>3</v>
      </c>
      <c r="D4" s="14" t="s">
        <v>4</v>
      </c>
      <c r="E4" s="14" t="s">
        <v>62</v>
      </c>
      <c r="F4" s="14" t="s">
        <v>8</v>
      </c>
    </row>
    <row r="5" customFormat="false" ht="15" hidden="false" customHeight="true" outlineLevel="0" collapsed="false">
      <c r="A5" s="15" t="s">
        <v>63</v>
      </c>
      <c r="B5" s="16" t="n">
        <v>1</v>
      </c>
      <c r="C5" s="16" t="n">
        <f aca="false">INDEX(Data!$D$2:$D$16,MATCH(B5,Data!$A$2:$A$16,0))</f>
        <v>95</v>
      </c>
      <c r="D5" s="16" t="str">
        <f aca="false">INDEX(Data!$E$2:$E$16,MATCH(B5,Data!$A$2:$A$16,0))</f>
        <v>%</v>
      </c>
      <c r="E5" s="17" t="str">
        <f aca="false">INDEX(Data!$L$2:$L$16,MATCH(B5,Data!$A$2:$A$16,0))</f>
        <v/>
      </c>
      <c r="F5" s="16" t="str">
        <f aca="false">INDEX(Data!$I$2:$I$16,MATCH(B5,Data!$A$2:$A$16,0))</f>
        <v>https://computing.co.uk/news/2025/ai/mit-report-95pc-corporate-generative-ai-pilots-fail</v>
      </c>
    </row>
    <row r="6" customFormat="false" ht="15" hidden="false" customHeight="true" outlineLevel="0" collapsed="false">
      <c r="A6" s="15" t="s">
        <v>64</v>
      </c>
      <c r="B6" s="16" t="n">
        <v>2</v>
      </c>
      <c r="C6" s="16" t="n">
        <f aca="false">INDEX(Data!$D$2:$D$16,MATCH(B6,Data!$A$2:$A$16,0))</f>
        <v>5</v>
      </c>
      <c r="D6" s="16" t="str">
        <f aca="false">INDEX(Data!$E$2:$E$16,MATCH(B6,Data!$A$2:$A$16,0))</f>
        <v>%</v>
      </c>
      <c r="E6" s="17" t="str">
        <f aca="false">INDEX(Data!$L$2:$L$16,MATCH(B6,Data!$A$2:$A$16,0))</f>
        <v/>
      </c>
      <c r="F6" s="16" t="str">
        <f aca="false">INDEX(Data!$I$2:$I$16,MATCH(B6,Data!$A$2:$A$16,0))</f>
        <v>https://computing.co.uk/news/2025/ai/mit-report-95pc-corporate-generative-ai-pilots-fail</v>
      </c>
    </row>
    <row r="7" customFormat="false" ht="15" hidden="false" customHeight="true" outlineLevel="0" collapsed="false">
      <c r="A7" s="18" t="s">
        <v>65</v>
      </c>
      <c r="B7" s="11"/>
      <c r="C7" s="19" t="n">
        <f aca="false">INDEX(Data!$M$2:$M$16,MATCH(1,Data!$A$2:$A$16,0))</f>
        <v>19</v>
      </c>
      <c r="D7" s="11"/>
      <c r="E7" s="11"/>
      <c r="F7" s="11"/>
    </row>
    <row r="8" customFormat="false" ht="15" hidden="false" customHeight="true" outlineLevel="0" collapsed="false">
      <c r="A8" s="11"/>
      <c r="B8" s="11"/>
      <c r="C8" s="11"/>
      <c r="D8" s="11"/>
      <c r="E8" s="11"/>
      <c r="F8" s="11"/>
    </row>
    <row r="9" customFormat="false" ht="15" hidden="false" customHeight="true" outlineLevel="0" collapsed="false">
      <c r="A9" s="13" t="s">
        <v>66</v>
      </c>
      <c r="B9" s="11"/>
      <c r="C9" s="11"/>
      <c r="D9" s="11"/>
      <c r="E9" s="11"/>
      <c r="F9" s="11"/>
    </row>
    <row r="10" customFormat="false" ht="15" hidden="false" customHeight="true" outlineLevel="0" collapsed="false">
      <c r="A10" s="14" t="s">
        <v>61</v>
      </c>
      <c r="B10" s="14" t="s">
        <v>0</v>
      </c>
      <c r="C10" s="14" t="s">
        <v>3</v>
      </c>
      <c r="D10" s="14" t="s">
        <v>4</v>
      </c>
      <c r="E10" s="14" t="s">
        <v>62</v>
      </c>
      <c r="F10" s="14" t="s">
        <v>8</v>
      </c>
    </row>
    <row r="11" customFormat="false" ht="15" hidden="false" customHeight="true" outlineLevel="0" collapsed="false">
      <c r="A11" s="15" t="s">
        <v>67</v>
      </c>
      <c r="B11" s="16" t="n">
        <v>8</v>
      </c>
      <c r="C11" s="16" t="n">
        <f aca="false">INDEX(Data!$D$2:$D$16,MATCH(B11,Data!$A$2:$A$16,0))</f>
        <v>61</v>
      </c>
      <c r="D11" s="16" t="str">
        <f aca="false">INDEX(Data!$E$2:$E$16,MATCH(B11,Data!$A$2:$A$16,0))</f>
        <v>%</v>
      </c>
      <c r="E11" s="17" t="n">
        <f aca="false">INDEX(Data!$L$2:$L$16,MATCH(B11,Data!$A$2:$A$16,0))</f>
        <v>2562</v>
      </c>
      <c r="F11" s="16" t="str">
        <f aca="false">INDEX(Data!$I$2:$I$16,MATCH(B11,Data!$A$2:$A$16,0))</f>
        <v>https://www.teamviewer.com/hu/global/company/press/2026/ai-workplace-autonomy-global-research/</v>
      </c>
    </row>
    <row r="12" customFormat="false" ht="15" hidden="false" customHeight="true" outlineLevel="0" collapsed="false">
      <c r="A12" s="15" t="s">
        <v>68</v>
      </c>
      <c r="B12" s="16" t="n">
        <v>9</v>
      </c>
      <c r="C12" s="16" t="n">
        <f aca="false">INDEX(Data!$D$2:$D$16,MATCH(B12,Data!$A$2:$A$16,0))</f>
        <v>35</v>
      </c>
      <c r="D12" s="16" t="str">
        <f aca="false">INDEX(Data!$E$2:$E$16,MATCH(B12,Data!$A$2:$A$16,0))</f>
        <v>%</v>
      </c>
      <c r="E12" s="17" t="n">
        <f aca="false">INDEX(Data!$L$2:$L$16,MATCH(B12,Data!$A$2:$A$16,0))</f>
        <v>1470</v>
      </c>
      <c r="F12" s="16" t="str">
        <f aca="false">INDEX(Data!$I$2:$I$16,MATCH(B12,Data!$A$2:$A$16,0))</f>
        <v>https://www.teamviewer.com/hu/global/company/press/2026/ai-workplace-autonomy-global-research/</v>
      </c>
    </row>
    <row r="13" customFormat="false" ht="15" hidden="false" customHeight="true" outlineLevel="0" collapsed="false">
      <c r="A13" s="15" t="s">
        <v>69</v>
      </c>
      <c r="B13" s="16" t="n">
        <v>10</v>
      </c>
      <c r="C13" s="16" t="n">
        <f aca="false">INDEX(Data!$D$2:$D$16,MATCH(B13,Data!$A$2:$A$16,0))</f>
        <v>5</v>
      </c>
      <c r="D13" s="16" t="str">
        <f aca="false">INDEX(Data!$E$2:$E$16,MATCH(B13,Data!$A$2:$A$16,0))</f>
        <v>%</v>
      </c>
      <c r="E13" s="17" t="n">
        <f aca="false">INDEX(Data!$L$2:$L$16,MATCH(B13,Data!$A$2:$A$16,0))</f>
        <v>210</v>
      </c>
      <c r="F13" s="16" t="str">
        <f aca="false">INDEX(Data!$I$2:$I$16,MATCH(B13,Data!$A$2:$A$16,0))</f>
        <v>https://www.teamviewer.com/hu/global/company/press/2026/ai-workplace-autonomy-global-research/</v>
      </c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true" outlineLevel="0" collapsed="false">
      <c r="A15" s="13" t="s">
        <v>70</v>
      </c>
      <c r="B15" s="11"/>
      <c r="C15" s="11"/>
      <c r="D15" s="11"/>
      <c r="E15" s="11"/>
      <c r="F15" s="11"/>
    </row>
    <row r="16" customFormat="false" ht="15" hidden="false" customHeight="true" outlineLevel="0" collapsed="false">
      <c r="A16" s="14" t="s">
        <v>61</v>
      </c>
      <c r="B16" s="14" t="s">
        <v>0</v>
      </c>
      <c r="C16" s="14" t="s">
        <v>3</v>
      </c>
      <c r="D16" s="14" t="s">
        <v>4</v>
      </c>
      <c r="E16" s="14" t="s">
        <v>62</v>
      </c>
      <c r="F16" s="14" t="s">
        <v>8</v>
      </c>
    </row>
    <row r="17" customFormat="false" ht="15" hidden="false" customHeight="true" outlineLevel="0" collapsed="false">
      <c r="A17" s="15" t="s">
        <v>71</v>
      </c>
      <c r="B17" s="16" t="n">
        <v>14</v>
      </c>
      <c r="C17" s="16" t="n">
        <f aca="false">INDEX(Data!$D$2:$D$16,MATCH(B17,Data!$A$2:$A$16,0))</f>
        <v>30</v>
      </c>
      <c r="D17" s="16" t="str">
        <f aca="false">INDEX(Data!$E$2:$E$16,MATCH(B17,Data!$A$2:$A$16,0))</f>
        <v>%</v>
      </c>
      <c r="E17" s="17" t="str">
        <f aca="false">INDEX(Data!$L$2:$L$16,MATCH(B17,Data!$A$2:$A$16,0))</f>
        <v/>
      </c>
      <c r="F17" s="16" t="str">
        <f aca="false">INDEX(Data!$I$2:$I$16,MATCH(B17,Data!$A$2:$A$16,0))</f>
        <v>https://www.atticusli.com/replication-crisis/choice-overload-jam-study/</v>
      </c>
    </row>
    <row r="18" customFormat="false" ht="15" hidden="false" customHeight="true" outlineLevel="0" collapsed="false">
      <c r="A18" s="15" t="s">
        <v>72</v>
      </c>
      <c r="B18" s="16" t="n">
        <v>15</v>
      </c>
      <c r="C18" s="16" t="n">
        <f aca="false">INDEX(Data!$D$2:$D$16,MATCH(B18,Data!$A$2:$A$16,0))</f>
        <v>3</v>
      </c>
      <c r="D18" s="16" t="str">
        <f aca="false">INDEX(Data!$E$2:$E$16,MATCH(B18,Data!$A$2:$A$16,0))</f>
        <v>%</v>
      </c>
      <c r="E18" s="17" t="str">
        <f aca="false">INDEX(Data!$L$2:$L$16,MATCH(B18,Data!$A$2:$A$16,0))</f>
        <v/>
      </c>
      <c r="F18" s="16" t="str">
        <f aca="false">INDEX(Data!$I$2:$I$16,MATCH(B18,Data!$A$2:$A$16,0))</f>
        <v>https://www.atticusli.com/replication-crisis/choice-overload-jam-study/</v>
      </c>
    </row>
    <row r="19" customFormat="false" ht="15" hidden="false" customHeight="true" outlineLevel="0" collapsed="false">
      <c r="A19" s="18" t="s">
        <v>73</v>
      </c>
      <c r="B19" s="11"/>
      <c r="C19" s="19" t="n">
        <f aca="false">INDEX(Data!$M$2:$M$16,MATCH(14,Data!$A$2:$A$16,0))</f>
        <v>10</v>
      </c>
      <c r="D19" s="11"/>
      <c r="E19" s="11"/>
      <c r="F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true" outlineLevel="0" collapsed="false">
      <c r="A21" s="13" t="s">
        <v>74</v>
      </c>
      <c r="B21" s="11"/>
      <c r="C21" s="11"/>
      <c r="D21" s="11"/>
      <c r="E21" s="11"/>
      <c r="F21" s="11"/>
    </row>
    <row r="22" customFormat="false" ht="15" hidden="false" customHeight="true" outlineLevel="0" collapsed="false">
      <c r="A22" s="14" t="s">
        <v>61</v>
      </c>
      <c r="B22" s="14" t="s">
        <v>0</v>
      </c>
      <c r="C22" s="14" t="s">
        <v>3</v>
      </c>
      <c r="D22" s="14" t="s">
        <v>4</v>
      </c>
      <c r="E22" s="14" t="s">
        <v>62</v>
      </c>
      <c r="F22" s="14" t="s">
        <v>8</v>
      </c>
    </row>
    <row r="23" customFormat="false" ht="15" hidden="false" customHeight="true" outlineLevel="0" collapsed="false">
      <c r="A23" s="15" t="s">
        <v>75</v>
      </c>
      <c r="B23" s="16" t="n">
        <v>11</v>
      </c>
      <c r="C23" s="16" t="n">
        <f aca="false">INDEX(Data!$D$2:$D$16,MATCH(B23,Data!$A$2:$A$16,0))</f>
        <v>56</v>
      </c>
      <c r="D23" s="16" t="str">
        <f aca="false">INDEX(Data!$E$2:$E$16,MATCH(B23,Data!$A$2:$A$16,0))</f>
        <v>%</v>
      </c>
      <c r="E23" s="17" t="n">
        <f aca="false">INDEX(Data!$L$2:$L$16,MATCH(B23,Data!$A$2:$A$16,0))</f>
        <v>2352</v>
      </c>
      <c r="F23" s="16" t="str">
        <f aca="false">INDEX(Data!$I$2:$I$16,MATCH(B23,Data!$A$2:$A$16,0))</f>
        <v>https://www.teamviewer.com/hu/global/company/press/2026/ai-workplace-autonomy-global-research/</v>
      </c>
    </row>
    <row r="24" customFormat="false" ht="15" hidden="false" customHeight="true" outlineLevel="0" collapsed="false">
      <c r="A24" s="15" t="s">
        <v>76</v>
      </c>
      <c r="B24" s="16" t="n">
        <v>12</v>
      </c>
      <c r="C24" s="16" t="n">
        <f aca="false">INDEX(Data!$D$2:$D$16,MATCH(B24,Data!$A$2:$A$16,0))</f>
        <v>51</v>
      </c>
      <c r="D24" s="16" t="str">
        <f aca="false">INDEX(Data!$E$2:$E$16,MATCH(B24,Data!$A$2:$A$16,0))</f>
        <v>%</v>
      </c>
      <c r="E24" s="17" t="n">
        <f aca="false">INDEX(Data!$L$2:$L$16,MATCH(B24,Data!$A$2:$A$16,0))</f>
        <v>2142</v>
      </c>
      <c r="F24" s="16" t="str">
        <f aca="false">INDEX(Data!$I$2:$I$16,MATCH(B24,Data!$A$2:$A$16,0))</f>
        <v>https://www.teamviewer.com/hu/global/company/press/2026/ai-workplace-autonomy-global-research/</v>
      </c>
    </row>
    <row r="25" customFormat="false" ht="15" hidden="false" customHeight="true" outlineLevel="0" collapsed="false">
      <c r="A25" s="15" t="s">
        <v>77</v>
      </c>
      <c r="B25" s="16" t="n">
        <v>13</v>
      </c>
      <c r="C25" s="16" t="n">
        <f aca="false">INDEX(Data!$D$2:$D$16,MATCH(B25,Data!$A$2:$A$16,0))</f>
        <v>2</v>
      </c>
      <c r="D25" s="16" t="str">
        <f aca="false">INDEX(Data!$E$2:$E$16,MATCH(B25,Data!$A$2:$A$16,0))</f>
        <v>hours</v>
      </c>
      <c r="E25" s="11"/>
      <c r="F25" s="16" t="str">
        <f aca="false">INDEX(Data!$I$2:$I$16,MATCH(B25,Data!$A$2:$A$16,0))</f>
        <v>https://www.teamviewer.com/hu/global/company/press/2026/ai-workplace-autonomy-global-research/</v>
      </c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true" outlineLevel="0" collapsed="false">
      <c r="A27" s="13" t="s">
        <v>78</v>
      </c>
      <c r="B27" s="11"/>
      <c r="C27" s="11"/>
      <c r="D27" s="11"/>
      <c r="E27" s="11"/>
      <c r="F27" s="11"/>
    </row>
    <row r="28" customFormat="false" ht="15" hidden="false" customHeight="true" outlineLevel="0" collapsed="false">
      <c r="A28" s="14" t="s">
        <v>61</v>
      </c>
      <c r="B28" s="14" t="s">
        <v>0</v>
      </c>
      <c r="C28" s="14" t="s">
        <v>3</v>
      </c>
      <c r="D28" s="14" t="s">
        <v>4</v>
      </c>
      <c r="E28" s="14" t="s">
        <v>62</v>
      </c>
      <c r="F28" s="14" t="s">
        <v>8</v>
      </c>
    </row>
    <row r="29" customFormat="false" ht="15" hidden="false" customHeight="true" outlineLevel="0" collapsed="false">
      <c r="A29" s="15" t="s">
        <v>79</v>
      </c>
      <c r="B29" s="16" t="n">
        <v>4</v>
      </c>
      <c r="C29" s="16" t="n">
        <f aca="false">INDEX(Data!$D$2:$D$16,MATCH(B29,Data!$A$2:$A$16,0))</f>
        <v>47.5</v>
      </c>
      <c r="D29" s="16" t="str">
        <f aca="false">INDEX(Data!$E$2:$E$16,MATCH(B29,Data!$A$2:$A$16,0))</f>
        <v>%</v>
      </c>
      <c r="E29" s="17" t="n">
        <f aca="false">INDEX(Data!$L$2:$L$16,MATCH(B29,Data!$A$2:$A$16,0))</f>
        <v>401</v>
      </c>
      <c r="F29" s="16" t="str">
        <f aca="false">INDEX(Data!$I$2:$I$16,MATCH(B29,Data!$A$2:$A$16,0))</f>
        <v>https://arxiv.org/abs/2506.06576</v>
      </c>
    </row>
    <row r="30" customFormat="false" ht="15" hidden="false" customHeight="true" outlineLevel="0" collapsed="false">
      <c r="A30" s="15" t="s">
        <v>80</v>
      </c>
      <c r="B30" s="16" t="n">
        <v>3</v>
      </c>
      <c r="C30" s="16" t="n">
        <f aca="false">INDEX(Data!$D$2:$D$16,MATCH(B30,Data!$A$2:$A$16,0))</f>
        <v>46.1</v>
      </c>
      <c r="D30" s="16" t="str">
        <f aca="false">INDEX(Data!$E$2:$E$16,MATCH(B30,Data!$A$2:$A$16,0))</f>
        <v>%</v>
      </c>
      <c r="E30" s="17" t="n">
        <f aca="false">INDEX(Data!$L$2:$L$16,MATCH(B30,Data!$A$2:$A$16,0))</f>
        <v>389</v>
      </c>
      <c r="F30" s="16" t="str">
        <f aca="false">INDEX(Data!$I$2:$I$16,MATCH(B30,Data!$A$2:$A$16,0))</f>
        <v>https://arxiv.org/abs/2506.06576</v>
      </c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0" t="s">
        <v>81</v>
      </c>
    </row>
    <row r="2" customFormat="false" ht="15" hidden="false" customHeight="true" outlineLevel="0" collapsed="false">
      <c r="A2" s="21" t="s">
        <v>82</v>
      </c>
      <c r="B2" s="5" t="s">
        <v>83</v>
      </c>
    </row>
    <row r="3" customFormat="false" ht="15" hidden="false" customHeight="true" outlineLevel="0" collapsed="false">
      <c r="A3" s="21" t="s">
        <v>84</v>
      </c>
      <c r="B3" s="5" t="s">
        <v>85</v>
      </c>
    </row>
    <row r="4" customFormat="false" ht="23.25" hidden="false" customHeight="true" outlineLevel="0" collapsed="false">
      <c r="A4" s="21" t="s">
        <v>86</v>
      </c>
      <c r="B4" s="5" t="s">
        <v>87</v>
      </c>
    </row>
    <row r="5" customFormat="false" ht="15" hidden="false" customHeight="true" outlineLevel="0" collapsed="false">
      <c r="A5" s="22" t="s">
        <v>88</v>
      </c>
      <c r="B5" s="22"/>
    </row>
    <row r="6" customFormat="false" ht="26.25" hidden="false" customHeight="true" outlineLevel="0" collapsed="false">
      <c r="A6" s="21" t="s">
        <v>11</v>
      </c>
      <c r="B6" s="5" t="s">
        <v>89</v>
      </c>
    </row>
    <row r="7" customFormat="false" ht="23.25" hidden="false" customHeight="true" outlineLevel="0" collapsed="false">
      <c r="A7" s="21" t="s">
        <v>12</v>
      </c>
      <c r="B7" s="5" t="s">
        <v>90</v>
      </c>
    </row>
    <row r="8" customFormat="false" ht="34.5" hidden="false" customHeight="true" outlineLevel="0" collapsed="false">
      <c r="A8" s="21" t="s">
        <v>13</v>
      </c>
      <c r="B8" s="5" t="s">
        <v>91</v>
      </c>
    </row>
    <row r="9" customFormat="false" ht="15" hidden="false" customHeight="true" outlineLevel="0" collapsed="false">
      <c r="A9" s="22" t="s">
        <v>92</v>
      </c>
      <c r="B9" s="22"/>
    </row>
    <row r="10" customFormat="false" ht="15" hidden="false" customHeight="true" outlineLevel="0" collapsed="false">
      <c r="A10" s="21" t="s">
        <v>93</v>
      </c>
      <c r="B10" s="5" t="n">
        <f aca="false">COUNTIF(Data!N2:N16,"?*")</f>
        <v>5</v>
      </c>
    </row>
    <row r="11" customFormat="false" ht="15" hidden="false" customHeight="true" outlineLevel="0" collapsed="false">
      <c r="A11" s="21" t="s">
        <v>94</v>
      </c>
      <c r="B11" s="5" t="n">
        <f aca="false">COUNTIFS(Data!E2:E16,"%",Data!F2:F16,"")</f>
        <v>5</v>
      </c>
    </row>
    <row r="12" customFormat="false" ht="15" hidden="false" customHeight="true" outlineLevel="0" collapsed="false">
      <c r="A12" s="21" t="s">
        <v>95</v>
      </c>
      <c r="B12" s="5" t="n">
        <f aca="false">COUNTBLANK(Data!I2:I16)</f>
        <v>0</v>
      </c>
    </row>
    <row r="13" customFormat="false" ht="15" hidden="false" customHeight="true" outlineLevel="0" collapsed="false">
      <c r="A13" s="21" t="s">
        <v>96</v>
      </c>
      <c r="B13" s="5" t="s">
        <v>97</v>
      </c>
    </row>
    <row r="14" customFormat="false" ht="15" hidden="false" customHeight="true" outlineLevel="0" collapsed="false">
      <c r="A14" s="23"/>
      <c r="B14" s="23"/>
    </row>
    <row r="15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F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4" t="s">
        <v>98</v>
      </c>
      <c r="B1" s="24" t="s">
        <v>99</v>
      </c>
    </row>
    <row r="2" customFormat="false" ht="15" hidden="false" customHeight="true" outlineLevel="0" collapsed="false">
      <c r="A2" s="21" t="s">
        <v>100</v>
      </c>
      <c r="B2" s="25" t="s">
        <v>101</v>
      </c>
    </row>
    <row r="3" customFormat="false" ht="27.75" hidden="false" customHeight="true" outlineLevel="0" collapsed="false">
      <c r="A3" s="21" t="s">
        <v>102</v>
      </c>
      <c r="B3" s="25" t="s">
        <v>103</v>
      </c>
    </row>
    <row r="4" customFormat="false" ht="15" hidden="false" customHeight="true" outlineLevel="0" collapsed="false">
      <c r="A4" s="21" t="s">
        <v>104</v>
      </c>
      <c r="B4" s="25" t="s">
        <v>105</v>
      </c>
    </row>
    <row r="5" customFormat="false" ht="15" hidden="false" customHeight="true" outlineLevel="0" collapsed="false">
      <c r="A5" s="21" t="s">
        <v>106</v>
      </c>
      <c r="B5" s="25" t="s">
        <v>107</v>
      </c>
    </row>
    <row r="6" customFormat="false" ht="15" hidden="false" customHeight="true" outlineLevel="0" collapsed="false">
      <c r="A6" s="21" t="s">
        <v>31</v>
      </c>
      <c r="B6" s="25" t="s">
        <v>108</v>
      </c>
    </row>
    <row r="7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2026-10-29T01:30:13Z</dcterms:created>
  <dc:creator>openpyxl</dc:creator>
  <dc:description/>
  <dc:language>en-US</dc:language>
  <cp:lastModifiedBy/>
  <dcterms:modified xsi:type="dcterms:W3CDTF">2026-10-29T03:46:28Z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